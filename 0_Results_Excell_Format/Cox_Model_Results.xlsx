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Main model" sheetId="2" state="visible" r:id="rId4"/>
    <sheet name="Robustness" sheetId="3" state="visible" r:id="rId5"/>
    <sheet name="Stability" sheetId="4" state="visible" r:id="rId6"/>
    <sheet name="Diagnostic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<sst xmlns="http://schemas.openxmlformats.org/spreadsheetml/2006/main" count="385" uniqueCount="159">
  <si>
    <t xml:space="preserve">Multi-state Cox proportional-hazards model — results</t>
  </si>
  <si>
    <t xml:space="preserve">Cause-specific model for successful phase transitions (clock-reset, semi-Markov)</t>
  </si>
  <si>
    <t xml:space="preserve">Model specification</t>
  </si>
  <si>
    <t xml:space="preserve">  Surv(Duration, event) ~ strata(from, Inv_Environment) + from:covariate  + cluster(Inv_index)</t>
  </si>
  <si>
    <t xml:space="preserve">  Ties: Efron.  Standard errors: robust, clustered on Inv_index.</t>
  </si>
  <si>
    <t xml:space="preserve">  Baseline stratified by phase of origin (from) and environment (onshore/offshore).</t>
  </si>
  <si>
    <t xml:space="preserve">  All covariates interacted with phase of origin -&gt; phase-specific hazard ratios.</t>
  </si>
  <si>
    <t xml:space="preserve">Sample</t>
  </si>
  <si>
    <t xml:space="preserve">  n = 1082 transition spells | 462 successes | 377 cancellations | 243 censored.</t>
  </si>
  <si>
    <t xml:space="preserve">  Main model: concordance = 0.716 (se 0.016). Global Schoenfeld chi2 = 29.41, df = 28, p = 0.39.</t>
  </si>
  <si>
    <t xml:space="preserve">  Robustness model: concordance = 0.717 (se 0.016). Global Schoenfeld chi2 = 40.68, df = 30, p = 0.09.</t>
  </si>
  <si>
    <t xml:space="preserve">Reference levels</t>
  </si>
  <si>
    <t xml:space="preserve">  Region: Extra-EU | Jurisdiction: Internal | Infrastructure: New | Element: Cable/Line |</t>
  </si>
  <si>
    <t xml:space="preserve">  Technology: AC | COVID-19: 0 (no overlap) | New Directive: 0 (pre-2018) |</t>
  </si>
  <si>
    <t xml:space="preserve">  Capacity: High | Length: Long.</t>
  </si>
  <si>
    <t xml:space="preserve">Sheets</t>
  </si>
  <si>
    <t xml:space="preserve">  Main model        - full cause-specific success model (Table 1).</t>
  </si>
  <si>
    <t xml:space="preserve">  Robustness        - physical-scale controls added (capacity, length; 'Missing' level).</t>
  </si>
  <si>
    <t xml:space="preserve">  Stability         - main vs robustness HRs, with log-scale and percentage changes.</t>
  </si>
  <si>
    <t xml:space="preserve">  Diagnostics       - Schoenfeld PH tests, model fit, joint tests of physical-scale terms.</t>
  </si>
  <si>
    <t xml:space="preserve">Reading the tables</t>
  </si>
  <si>
    <t xml:space="preserve">  HR &gt; 1 accelerates the transition; HR &lt; 1 delays it. Significance: *** p&lt;0.001, ** p&lt;0.01, * p&lt;0.05, . p&lt;0.1.</t>
  </si>
  <si>
    <t xml:space="preserve">Caveat on the robustness specification</t>
  </si>
  <si>
    <t xml:space="preserve">  The robustness model differs from the main model in TWO respects: it adds Capacity_Cat and</t>
  </si>
  <si>
    <t xml:space="preserve">  Length_Cat, and it drops Inv_Element_Category (collinear with Length = Zero). Differences</t>
  </si>
  <si>
    <t xml:space="preserve">  between the two columns in 'Stability' therefore cannot be attributed to physical scale alone.</t>
  </si>
  <si>
    <t xml:space="preserve">  See the note at the foot of the Stability sheet.</t>
  </si>
  <si>
    <t xml:space="preserve">Source</t>
  </si>
  <si>
    <t xml:space="preserve">  All figures transcribed from the R console output supplied by the user (survival 3.8-3,</t>
  </si>
  <si>
    <t xml:space="preserve">  R 4.5.2). No quantity in this workbook is re-estimated here; the Stability sheet's derived</t>
  </si>
  <si>
    <t xml:space="preserve">  columns are live formulas over the Main model and Robustness sheets.</t>
  </si>
  <si>
    <t xml:space="preserve">Table 1 — Structural and temporal drivers (cause-specific: successful transition)</t>
  </si>
  <si>
    <t xml:space="preserve">Phase</t>
  </si>
  <si>
    <t xml:space="preserve">Variable</t>
  </si>
  <si>
    <t xml:space="preserve">HR</t>
  </si>
  <si>
    <t xml:space="preserve">95% CI low</t>
  </si>
  <si>
    <t xml:space="preserve">95% CI high</t>
  </si>
  <si>
    <t xml:space="preserve">coef</t>
  </si>
  <si>
    <t xml:space="preserve">robust SE</t>
  </si>
  <si>
    <t xml:space="preserve">z</t>
  </si>
  <si>
    <t xml:space="preserve">p-value</t>
  </si>
  <si>
    <t xml:space="preserve">sig.</t>
  </si>
  <si>
    <t xml:space="preserve">1 Consideration</t>
  </si>
  <si>
    <t xml:space="preserve">Region: EU Member (vs Extra-EU)</t>
  </si>
  <si>
    <t xml:space="preserve">&lt;0.001</t>
  </si>
  <si>
    <t xml:space="preserve">***</t>
  </si>
  <si>
    <t xml:space="preserve">2 Planning</t>
  </si>
  <si>
    <t xml:space="preserve">0.978</t>
  </si>
  <si>
    <t xml:space="preserve">3 Design &amp; Permitting</t>
  </si>
  <si>
    <t xml:space="preserve">0.010</t>
  </si>
  <si>
    <t xml:space="preserve">**</t>
  </si>
  <si>
    <t xml:space="preserve">4 Construction</t>
  </si>
  <si>
    <t xml:space="preserve">0.003</t>
  </si>
  <si>
    <t xml:space="preserve">Jurisdiction: Cross-border (vs Internal)</t>
  </si>
  <si>
    <t xml:space="preserve">0.708</t>
  </si>
  <si>
    <t xml:space="preserve">0.275</t>
  </si>
  <si>
    <t xml:space="preserve">0.508</t>
  </si>
  <si>
    <t xml:space="preserve">Infrastructure: Upgrade (vs New)</t>
  </si>
  <si>
    <t xml:space="preserve">0.108</t>
  </si>
  <si>
    <t xml:space="preserve">0.650</t>
  </si>
  <si>
    <t xml:space="preserve">0.012</t>
  </si>
  <si>
    <t xml:space="preserve">*</t>
  </si>
  <si>
    <t xml:space="preserve">0.969</t>
  </si>
  <si>
    <t xml:space="preserve">Element: Nodal (vs Cable/Line)</t>
  </si>
  <si>
    <t xml:space="preserve">0.222</t>
  </si>
  <si>
    <t xml:space="preserve">0.265</t>
  </si>
  <si>
    <t xml:space="preserve">0.050</t>
  </si>
  <si>
    <t xml:space="preserve">.</t>
  </si>
  <si>
    <t xml:space="preserve">0.417</t>
  </si>
  <si>
    <t xml:space="preserve">Technology: DC (vs AC)</t>
  </si>
  <si>
    <t xml:space="preserve">0.168</t>
  </si>
  <si>
    <t xml:space="preserve">0.879</t>
  </si>
  <si>
    <t xml:space="preserve">0.640</t>
  </si>
  <si>
    <t xml:space="preserve">COVID-19 shock</t>
  </si>
  <si>
    <t xml:space="preserve">New Directive (post-2018)</t>
  </si>
  <si>
    <t xml:space="preserve">0.021</t>
  </si>
  <si>
    <t xml:space="preserve">Robustness — primary drivers with physical-scale controls (capacity &amp; length)</t>
  </si>
  <si>
    <t xml:space="preserve">Capacity/length entered as categories with an explicit 'Missing' level (no listwise deletion); element category omitted (collinear with zero length). n = 1082.</t>
  </si>
  <si>
    <t xml:space="preserve">0.501</t>
  </si>
  <si>
    <t xml:space="preserve">0.009</t>
  </si>
  <si>
    <t xml:space="preserve">0.002</t>
  </si>
  <si>
    <t xml:space="preserve">0.983</t>
  </si>
  <si>
    <t xml:space="preserve">0.651</t>
  </si>
  <si>
    <t xml:space="preserve">0.704</t>
  </si>
  <si>
    <t xml:space="preserve">0.039</t>
  </si>
  <si>
    <t xml:space="preserve">0.682</t>
  </si>
  <si>
    <t xml:space="preserve">0.005</t>
  </si>
  <si>
    <t xml:space="preserve">0.051</t>
  </si>
  <si>
    <t xml:space="preserve">0.018</t>
  </si>
  <si>
    <t xml:space="preserve">0.758</t>
  </si>
  <si>
    <t xml:space="preserve">0.523</t>
  </si>
  <si>
    <t xml:space="preserve">0.042</t>
  </si>
  <si>
    <t xml:space="preserve">Physical-scale controls (main effects — not interacted with phase)</t>
  </si>
  <si>
    <t xml:space="preserve">Capacity: Low (vs High)</t>
  </si>
  <si>
    <t xml:space="preserve">0.155</t>
  </si>
  <si>
    <t xml:space="preserve">Capacity: Missing (vs High)</t>
  </si>
  <si>
    <t xml:space="preserve">0.151</t>
  </si>
  <si>
    <t xml:space="preserve">Capacity: Zero (vs High)</t>
  </si>
  <si>
    <t xml:space="preserve">Length: Missing (vs Long)</t>
  </si>
  <si>
    <t xml:space="preserve">0.001</t>
  </si>
  <si>
    <t xml:space="preserve">Length: Short (vs Long)</t>
  </si>
  <si>
    <t xml:space="preserve">0.599</t>
  </si>
  <si>
    <t xml:space="preserve">Length: Zero (vs Long)</t>
  </si>
  <si>
    <t xml:space="preserve">0.575</t>
  </si>
  <si>
    <t xml:space="preserve">Note: the physical-scale signal concentrates in the zero-capacity and missing-length levels, which proxy nodal (substation) assets captured by element category in the main model.</t>
  </si>
  <si>
    <t xml:space="preserve">Coefficient stability — main vs robustness model (primary drivers)</t>
  </si>
  <si>
    <t xml:space="preserve">Geographic and temporal drivers keep sign, order of magnitude and significance. Technology (DC) does not: see the flagged rows and the note below.</t>
  </si>
  <si>
    <t xml:space="preserve">HR (main)</t>
  </si>
  <si>
    <t xml:space="preserve">HR (robustness)</t>
  </si>
  <si>
    <t xml:space="preserve">Δ log-HR</t>
  </si>
  <si>
    <t xml:space="preserve">% change</t>
  </si>
  <si>
    <t xml:space="preserve">Significance at p&lt;0.05</t>
  </si>
  <si>
    <t xml:space="preserve">How to read this sheet</t>
  </si>
  <si>
    <t xml:space="preserve">  Δ log-HR is the change on the estimation scale and is the quantity to report; a difference in raw HR understates</t>
  </si>
  <si>
    <t xml:space="preserve">  movement for hazard ratios below 1 (COVID-19, phase 4: HR 0.340 -&gt; 0.173 is only -0.167 in levels but -68% in logs).</t>
  </si>
  <si>
    <t xml:space="preserve">  'CHANGES' flags a covariate that crosses the 5% threshold between the two specifications.</t>
  </si>
  <si>
    <t xml:space="preserve">  Caveat: the robustness model both ADDS capacity/length and DROPS element category, so a flagged row cannot be</t>
  </si>
  <si>
    <t xml:space="preserve">  attributed to physical scale alone. To separate the two, estimate an intermediate model that drops element</t>
  </si>
  <si>
    <t xml:space="preserve">  category only. The attenuation of the DC coefficient is expected on substantive grounds — HVDC assets are</t>
  </si>
  <si>
    <t xml:space="preserve">  systematically longer and higher-capacity, so the scale controls absorb part of the technology effect.</t>
  </si>
  <si>
    <t xml:space="preserve">Model diagnostics</t>
  </si>
  <si>
    <t xml:space="preserve">Schoenfeld proportional-hazards test — main model</t>
  </si>
  <si>
    <t xml:space="preserve">Term</t>
  </si>
  <si>
    <t xml:space="preserve">chi2</t>
  </si>
  <si>
    <t xml:space="preserve">df</t>
  </si>
  <si>
    <t xml:space="preserve">p</t>
  </si>
  <si>
    <t xml:space="preserve">from:is_EU</t>
  </si>
  <si>
    <t xml:space="preserve">from:Project_Jurisdiction</t>
  </si>
  <si>
    <t xml:space="preserve">from:Infr_Type</t>
  </si>
  <si>
    <t xml:space="preserve">from:Inv_Element_Category</t>
  </si>
  <si>
    <t xml:space="preserve">from:Inv_Technology</t>
  </si>
  <si>
    <t xml:space="preserve">from:Covid19</t>
  </si>
  <si>
    <t xml:space="preserve">from:NewDirective</t>
  </si>
  <si>
    <t xml:space="preserve">GLOBAL</t>
  </si>
  <si>
    <t xml:space="preserve">Schoenfeld proportional-hazards test — robustness model</t>
  </si>
  <si>
    <t xml:space="preserve">Capacity_Cat</t>
  </si>
  <si>
    <t xml:space="preserve">Length_Cat</t>
  </si>
  <si>
    <t xml:space="preserve">Joint tests of physical-scale terms (capacity + length)</t>
  </si>
  <si>
    <t xml:space="preserve">Test</t>
  </si>
  <si>
    <t xml:space="preserve">Interpretation</t>
  </si>
  <si>
    <t xml:space="preserve">Likelihood-ratio (nested, unclustered)</t>
  </si>
  <si>
    <t xml:space="preserve">physical scale improves fit</t>
  </si>
  <si>
    <t xml:space="preserve">Robust Wald (clustered SE)</t>
  </si>
  <si>
    <t xml:space="preserve">confirmed with robust variance</t>
  </si>
  <si>
    <t xml:space="preserve">  The LRT is computed on the unclustered fits: the likelihood does not depend on the robust variance estimator.</t>
  </si>
  <si>
    <t xml:space="preserve">Model fit</t>
  </si>
  <si>
    <t xml:space="preserve">Statistic</t>
  </si>
  <si>
    <t xml:space="preserve">Main</t>
  </si>
  <si>
    <t xml:space="preserve">Robustness</t>
  </si>
  <si>
    <t xml:space="preserve">Number of spells (n)</t>
  </si>
  <si>
    <t xml:space="preserve">Events (successes)</t>
  </si>
  <si>
    <t xml:space="preserve">Concordance</t>
  </si>
  <si>
    <t xml:space="preserve">se = 0.016 in both</t>
  </si>
  <si>
    <t xml:space="preserve">Likelihood ratio test (chi2)</t>
  </si>
  <si>
    <t xml:space="preserve">df = 28 and 30, p &lt; 2e-16</t>
  </si>
  <si>
    <t xml:space="preserve">Wald test (chi2)</t>
  </si>
  <si>
    <t xml:space="preserve">Score (logrank) test (chi2)</t>
  </si>
  <si>
    <t xml:space="preserve">robust: 143.3 and 152.4, p &lt; 2e-16</t>
  </si>
  <si>
    <t xml:space="preserve">Note: PH assumption is not rejected in either specification (global p = 0.39 and 0.09). Capacity_Cat is the closest to the threshold (p = 0.08).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</si>
</sst>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%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color rgb="FF555555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5FA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/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4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3" t="s">
        <v>17</v>
      </c>
    </row>
    <row r="23" customFormat="false" ht="15" hidden="false" customHeight="false" outlineLevel="0" collapsed="false">
      <c r="A23" s="3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/>
    </row>
    <row r="26" customFormat="false" ht="15" hidden="false" customHeight="false" outlineLevel="0" collapsed="false">
      <c r="A26" s="4" t="s">
        <v>20</v>
      </c>
    </row>
    <row r="27" customFormat="false" ht="15" hidden="false" customHeight="false" outlineLevel="0" collapsed="false">
      <c r="A27" s="3" t="s">
        <v>21</v>
      </c>
    </row>
    <row r="28" customFormat="false" ht="15" hidden="false" customHeight="false" outlineLevel="0" collapsed="false">
      <c r="A28" s="3"/>
    </row>
    <row r="29" customFormat="false" ht="15" hidden="false" customHeight="false" outlineLevel="0" collapsed="false">
      <c r="A29" s="4" t="s">
        <v>22</v>
      </c>
    </row>
    <row r="30" customFormat="false" ht="15" hidden="false" customHeight="false" outlineLevel="0" collapsed="false">
      <c r="A30" s="3" t="s">
        <v>23</v>
      </c>
    </row>
    <row r="31" customFormat="false" ht="15" hidden="false" customHeight="false" outlineLevel="0" collapsed="false">
      <c r="A31" s="3" t="s">
        <v>24</v>
      </c>
    </row>
    <row r="32" customFormat="false" ht="15" hidden="false" customHeight="false" outlineLevel="0" collapsed="false">
      <c r="A32" s="3" t="s">
        <v>25</v>
      </c>
    </row>
    <row r="33" customFormat="false" ht="15" hidden="false" customHeight="false" outlineLevel="0" collapsed="false">
      <c r="A33" s="3" t="s">
        <v>26</v>
      </c>
    </row>
    <row r="34" customFormat="false" ht="15" hidden="false" customHeight="false" outlineLevel="0" collapsed="false">
      <c r="A34" s="3"/>
    </row>
    <row r="35" customFormat="false" ht="15" hidden="false" customHeight="false" outlineLevel="0" collapsed="false">
      <c r="A35" s="4" t="s">
        <v>27</v>
      </c>
    </row>
    <row r="36" customFormat="false" ht="15" hidden="false" customHeight="false" outlineLevel="0" collapsed="false">
      <c r="A36" s="3" t="s">
        <v>28</v>
      </c>
    </row>
    <row r="37" customFormat="false" ht="15" hidden="false" customHeight="false" outlineLevel="0" collapsed="false">
      <c r="A37" s="3" t="s">
        <v>29</v>
      </c>
    </row>
    <row r="38" customFormat="false" ht="15" hidden="false" customHeight="false" outlineLevel="0" collapsed="false">
      <c r="A38" s="3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8"/>
    <col collapsed="false" customWidth="true" hidden="false" outlineLevel="0" max="10" min="3" style="0" width="11"/>
  </cols>
  <sheetData>
    <row r="1" customFormat="false" ht="16.15" hidden="false" customHeight="false" outlineLevel="0" collapsed="false">
      <c r="A1" s="1" t="s">
        <v>31</v>
      </c>
    </row>
    <row r="3" customFormat="false" ht="15" hidden="false" customHeight="false" outlineLevel="0" collapsed="false">
      <c r="A3" s="5" t="s">
        <v>32</v>
      </c>
      <c r="B3" s="5" t="s">
        <v>33</v>
      </c>
      <c r="C3" s="5" t="s">
        <v>34</v>
      </c>
      <c r="D3" s="5" t="s">
        <v>35</v>
      </c>
      <c r="E3" s="5" t="s">
        <v>36</v>
      </c>
      <c r="F3" s="5" t="s">
        <v>37</v>
      </c>
      <c r="G3" s="5" t="s">
        <v>38</v>
      </c>
      <c r="H3" s="5" t="s">
        <v>39</v>
      </c>
      <c r="I3" s="5" t="s">
        <v>40</v>
      </c>
      <c r="J3" s="5" t="s">
        <v>41</v>
      </c>
    </row>
    <row r="4" customFormat="false" ht="15" hidden="false" customHeight="false" outlineLevel="0" collapsed="false">
      <c r="A4" s="6" t="s">
        <v>42</v>
      </c>
      <c r="B4" s="7" t="s">
        <v>43</v>
      </c>
      <c r="C4" s="8" t="n">
        <v>2.581078</v>
      </c>
      <c r="D4" s="8" t="n">
        <v>1.66066</v>
      </c>
      <c r="E4" s="8" t="n">
        <v>4.0116</v>
      </c>
      <c r="F4" s="8" t="n">
        <v>0.948207</v>
      </c>
      <c r="G4" s="8" t="n">
        <v>0.225001</v>
      </c>
      <c r="H4" s="8" t="n">
        <v>4.214</v>
      </c>
      <c r="I4" s="6" t="s">
        <v>44</v>
      </c>
      <c r="J4" s="6" t="s">
        <v>45</v>
      </c>
    </row>
    <row r="5" customFormat="false" ht="15" hidden="false" customHeight="false" outlineLevel="0" collapsed="false">
      <c r="A5" s="9" t="s">
        <v>46</v>
      </c>
      <c r="B5" s="10" t="s">
        <v>43</v>
      </c>
      <c r="C5" s="11" t="n">
        <v>0.992377</v>
      </c>
      <c r="D5" s="11" t="n">
        <v>0.5727</v>
      </c>
      <c r="E5" s="11" t="n">
        <v>1.7196</v>
      </c>
      <c r="F5" s="11" t="n">
        <v>-0.007652</v>
      </c>
      <c r="G5" s="11" t="n">
        <v>0.280482</v>
      </c>
      <c r="H5" s="11" t="n">
        <v>-0.027</v>
      </c>
      <c r="I5" s="9" t="s">
        <v>47</v>
      </c>
      <c r="J5" s="9"/>
    </row>
    <row r="6" customFormat="false" ht="15" hidden="false" customHeight="false" outlineLevel="0" collapsed="false">
      <c r="A6" s="6" t="s">
        <v>48</v>
      </c>
      <c r="B6" s="7" t="s">
        <v>43</v>
      </c>
      <c r="C6" s="8" t="n">
        <v>1.959619</v>
      </c>
      <c r="D6" s="8" t="n">
        <v>1.17623</v>
      </c>
      <c r="E6" s="8" t="n">
        <v>3.2648</v>
      </c>
      <c r="F6" s="8" t="n">
        <v>0.67275</v>
      </c>
      <c r="G6" s="8" t="n">
        <v>0.260433</v>
      </c>
      <c r="H6" s="8" t="n">
        <v>2.583</v>
      </c>
      <c r="I6" s="6" t="s">
        <v>49</v>
      </c>
      <c r="J6" s="6" t="s">
        <v>50</v>
      </c>
    </row>
    <row r="7" customFormat="false" ht="15" hidden="false" customHeight="false" outlineLevel="0" collapsed="false">
      <c r="A7" s="9" t="s">
        <v>51</v>
      </c>
      <c r="B7" s="10" t="s">
        <v>43</v>
      </c>
      <c r="C7" s="11" t="n">
        <v>2.022874</v>
      </c>
      <c r="D7" s="11" t="n">
        <v>1.26264</v>
      </c>
      <c r="E7" s="11" t="n">
        <v>3.2408</v>
      </c>
      <c r="F7" s="11" t="n">
        <v>0.70452</v>
      </c>
      <c r="G7" s="11" t="n">
        <v>0.240471</v>
      </c>
      <c r="H7" s="11" t="n">
        <v>2.93</v>
      </c>
      <c r="I7" s="9" t="s">
        <v>52</v>
      </c>
      <c r="J7" s="9" t="s">
        <v>50</v>
      </c>
    </row>
    <row r="8" customFormat="false" ht="15" hidden="false" customHeight="false" outlineLevel="0" collapsed="false">
      <c r="A8" s="6" t="s">
        <v>42</v>
      </c>
      <c r="B8" s="7" t="s">
        <v>53</v>
      </c>
      <c r="C8" s="8" t="n">
        <v>1.797142</v>
      </c>
      <c r="D8" s="8" t="n">
        <v>1.1537</v>
      </c>
      <c r="E8" s="8" t="n">
        <v>2.7995</v>
      </c>
      <c r="F8" s="8" t="n">
        <v>0.586197</v>
      </c>
      <c r="G8" s="8" t="n">
        <v>0.226141</v>
      </c>
      <c r="H8" s="8" t="n">
        <v>2.592</v>
      </c>
      <c r="I8" s="6" t="s">
        <v>49</v>
      </c>
      <c r="J8" s="6" t="s">
        <v>50</v>
      </c>
    </row>
    <row r="9" customFormat="false" ht="15" hidden="false" customHeight="false" outlineLevel="0" collapsed="false">
      <c r="A9" s="9" t="s">
        <v>46</v>
      </c>
      <c r="B9" s="10" t="s">
        <v>53</v>
      </c>
      <c r="C9" s="11" t="n">
        <v>1.095253</v>
      </c>
      <c r="D9" s="11" t="n">
        <v>0.67998</v>
      </c>
      <c r="E9" s="11" t="n">
        <v>1.7641</v>
      </c>
      <c r="F9" s="11" t="n">
        <v>0.090985</v>
      </c>
      <c r="G9" s="11" t="n">
        <v>0.243204</v>
      </c>
      <c r="H9" s="11" t="n">
        <v>0.374</v>
      </c>
      <c r="I9" s="9" t="s">
        <v>54</v>
      </c>
      <c r="J9" s="9"/>
    </row>
    <row r="10" customFormat="false" ht="15" hidden="false" customHeight="false" outlineLevel="0" collapsed="false">
      <c r="A10" s="6" t="s">
        <v>48</v>
      </c>
      <c r="B10" s="7" t="s">
        <v>53</v>
      </c>
      <c r="C10" s="8" t="n">
        <v>1.238088</v>
      </c>
      <c r="D10" s="8" t="n">
        <v>0.84347</v>
      </c>
      <c r="E10" s="8" t="n">
        <v>1.8173</v>
      </c>
      <c r="F10" s="8" t="n">
        <v>0.213568</v>
      </c>
      <c r="G10" s="8" t="n">
        <v>0.195817</v>
      </c>
      <c r="H10" s="8" t="n">
        <v>1.091</v>
      </c>
      <c r="I10" s="6" t="s">
        <v>55</v>
      </c>
      <c r="J10" s="6"/>
    </row>
    <row r="11" customFormat="false" ht="15" hidden="false" customHeight="false" outlineLevel="0" collapsed="false">
      <c r="A11" s="9" t="s">
        <v>51</v>
      </c>
      <c r="B11" s="10" t="s">
        <v>53</v>
      </c>
      <c r="C11" s="11" t="n">
        <v>1.133766</v>
      </c>
      <c r="D11" s="11" t="n">
        <v>0.78155</v>
      </c>
      <c r="E11" s="11" t="n">
        <v>1.6447</v>
      </c>
      <c r="F11" s="11" t="n">
        <v>0.125545</v>
      </c>
      <c r="G11" s="11" t="n">
        <v>0.189809</v>
      </c>
      <c r="H11" s="11" t="n">
        <v>0.661</v>
      </c>
      <c r="I11" s="9" t="s">
        <v>56</v>
      </c>
      <c r="J11" s="9"/>
    </row>
    <row r="12" customFormat="false" ht="15" hidden="false" customHeight="false" outlineLevel="0" collapsed="false">
      <c r="A12" s="6" t="s">
        <v>42</v>
      </c>
      <c r="B12" s="7" t="s">
        <v>57</v>
      </c>
      <c r="C12" s="8" t="n">
        <v>0.646481</v>
      </c>
      <c r="D12" s="8" t="n">
        <v>0.38</v>
      </c>
      <c r="E12" s="8" t="n">
        <v>1.0998</v>
      </c>
      <c r="F12" s="8" t="n">
        <v>-0.436212</v>
      </c>
      <c r="G12" s="8" t="n">
        <v>0.271118</v>
      </c>
      <c r="H12" s="8" t="n">
        <v>-1.609</v>
      </c>
      <c r="I12" s="6" t="s">
        <v>58</v>
      </c>
      <c r="J12" s="6"/>
    </row>
    <row r="13" customFormat="false" ht="15" hidden="false" customHeight="false" outlineLevel="0" collapsed="false">
      <c r="A13" s="9" t="s">
        <v>46</v>
      </c>
      <c r="B13" s="10" t="s">
        <v>57</v>
      </c>
      <c r="C13" s="11" t="n">
        <v>1.132534</v>
      </c>
      <c r="D13" s="11" t="n">
        <v>0.66201</v>
      </c>
      <c r="E13" s="11" t="n">
        <v>1.9375</v>
      </c>
      <c r="F13" s="11" t="n">
        <v>0.124457</v>
      </c>
      <c r="G13" s="11" t="n">
        <v>0.273952</v>
      </c>
      <c r="H13" s="11" t="n">
        <v>0.454</v>
      </c>
      <c r="I13" s="9" t="s">
        <v>59</v>
      </c>
      <c r="J13" s="9"/>
    </row>
    <row r="14" customFormat="false" ht="15" hidden="false" customHeight="false" outlineLevel="0" collapsed="false">
      <c r="A14" s="6" t="s">
        <v>48</v>
      </c>
      <c r="B14" s="7" t="s">
        <v>57</v>
      </c>
      <c r="C14" s="8" t="n">
        <v>1.945689</v>
      </c>
      <c r="D14" s="8" t="n">
        <v>1.16029</v>
      </c>
      <c r="E14" s="8" t="n">
        <v>3.2627</v>
      </c>
      <c r="F14" s="8" t="n">
        <v>0.665616</v>
      </c>
      <c r="G14" s="8" t="n">
        <v>0.263752</v>
      </c>
      <c r="H14" s="8" t="n">
        <v>2.524</v>
      </c>
      <c r="I14" s="6" t="s">
        <v>60</v>
      </c>
      <c r="J14" s="6" t="s">
        <v>61</v>
      </c>
    </row>
    <row r="15" customFormat="false" ht="15" hidden="false" customHeight="false" outlineLevel="0" collapsed="false">
      <c r="A15" s="9" t="s">
        <v>51</v>
      </c>
      <c r="B15" s="10" t="s">
        <v>57</v>
      </c>
      <c r="C15" s="11" t="n">
        <v>0.9916</v>
      </c>
      <c r="D15" s="11" t="n">
        <v>0.64378</v>
      </c>
      <c r="E15" s="11" t="n">
        <v>1.5274</v>
      </c>
      <c r="F15" s="11" t="n">
        <v>-0.008436</v>
      </c>
      <c r="G15" s="11" t="n">
        <v>0.220397</v>
      </c>
      <c r="H15" s="11" t="n">
        <v>-0.038</v>
      </c>
      <c r="I15" s="9" t="s">
        <v>62</v>
      </c>
      <c r="J15" s="9"/>
    </row>
    <row r="16" customFormat="false" ht="15" hidden="false" customHeight="false" outlineLevel="0" collapsed="false">
      <c r="A16" s="6" t="s">
        <v>42</v>
      </c>
      <c r="B16" s="7" t="s">
        <v>63</v>
      </c>
      <c r="C16" s="8" t="n">
        <v>0.706294</v>
      </c>
      <c r="D16" s="8" t="n">
        <v>0.4041</v>
      </c>
      <c r="E16" s="8" t="n">
        <v>1.2345</v>
      </c>
      <c r="F16" s="8" t="n">
        <v>-0.347724</v>
      </c>
      <c r="G16" s="8" t="n">
        <v>0.284885</v>
      </c>
      <c r="H16" s="8" t="n">
        <v>-1.221</v>
      </c>
      <c r="I16" s="6" t="s">
        <v>64</v>
      </c>
      <c r="J16" s="6"/>
    </row>
    <row r="17" customFormat="false" ht="15" hidden="false" customHeight="false" outlineLevel="0" collapsed="false">
      <c r="A17" s="9" t="s">
        <v>46</v>
      </c>
      <c r="B17" s="10" t="s">
        <v>63</v>
      </c>
      <c r="C17" s="11" t="n">
        <v>1.359197</v>
      </c>
      <c r="D17" s="11" t="n">
        <v>0.79202</v>
      </c>
      <c r="E17" s="11" t="n">
        <v>2.3325</v>
      </c>
      <c r="F17" s="11" t="n">
        <v>0.306894</v>
      </c>
      <c r="G17" s="11" t="n">
        <v>0.275549</v>
      </c>
      <c r="H17" s="11" t="n">
        <v>1.114</v>
      </c>
      <c r="I17" s="9" t="s">
        <v>65</v>
      </c>
      <c r="J17" s="9"/>
    </row>
    <row r="18" customFormat="false" ht="15" hidden="false" customHeight="false" outlineLevel="0" collapsed="false">
      <c r="A18" s="6" t="s">
        <v>48</v>
      </c>
      <c r="B18" s="7" t="s">
        <v>63</v>
      </c>
      <c r="C18" s="8" t="n">
        <v>1.652042</v>
      </c>
      <c r="D18" s="8" t="n">
        <v>0.99937</v>
      </c>
      <c r="E18" s="8" t="n">
        <v>2.731</v>
      </c>
      <c r="F18" s="8" t="n">
        <v>0.502012</v>
      </c>
      <c r="G18" s="8" t="n">
        <v>0.256456</v>
      </c>
      <c r="H18" s="8" t="n">
        <v>1.957</v>
      </c>
      <c r="I18" s="6" t="s">
        <v>66</v>
      </c>
      <c r="J18" s="6" t="s">
        <v>67</v>
      </c>
    </row>
    <row r="19" customFormat="false" ht="15" hidden="false" customHeight="false" outlineLevel="0" collapsed="false">
      <c r="A19" s="9" t="s">
        <v>51</v>
      </c>
      <c r="B19" s="10" t="s">
        <v>63</v>
      </c>
      <c r="C19" s="11" t="n">
        <v>0.800877</v>
      </c>
      <c r="D19" s="11" t="n">
        <v>0.46855</v>
      </c>
      <c r="E19" s="11" t="n">
        <v>1.3689</v>
      </c>
      <c r="F19" s="11" t="n">
        <v>-0.222048</v>
      </c>
      <c r="G19" s="11" t="n">
        <v>0.273507</v>
      </c>
      <c r="H19" s="11" t="n">
        <v>-0.812</v>
      </c>
      <c r="I19" s="9" t="s">
        <v>68</v>
      </c>
      <c r="J19" s="9"/>
    </row>
    <row r="20" customFormat="false" ht="15" hidden="false" customHeight="false" outlineLevel="0" collapsed="false">
      <c r="A20" s="6" t="s">
        <v>42</v>
      </c>
      <c r="B20" s="7" t="s">
        <v>69</v>
      </c>
      <c r="C20" s="8" t="n">
        <v>0.363044</v>
      </c>
      <c r="D20" s="8" t="n">
        <v>0.20943</v>
      </c>
      <c r="E20" s="8" t="n">
        <v>0.6293</v>
      </c>
      <c r="F20" s="8" t="n">
        <v>-1.013231</v>
      </c>
      <c r="G20" s="8" t="n">
        <v>0.280687</v>
      </c>
      <c r="H20" s="8" t="n">
        <v>-3.61</v>
      </c>
      <c r="I20" s="6" t="s">
        <v>44</v>
      </c>
      <c r="J20" s="6" t="s">
        <v>45</v>
      </c>
    </row>
    <row r="21" customFormat="false" ht="15" hidden="false" customHeight="false" outlineLevel="0" collapsed="false">
      <c r="A21" s="9" t="s">
        <v>46</v>
      </c>
      <c r="B21" s="10" t="s">
        <v>69</v>
      </c>
      <c r="C21" s="11" t="n">
        <v>1.432593</v>
      </c>
      <c r="D21" s="11" t="n">
        <v>0.85884</v>
      </c>
      <c r="E21" s="11" t="n">
        <v>2.3896</v>
      </c>
      <c r="F21" s="11" t="n">
        <v>0.359486</v>
      </c>
      <c r="G21" s="11" t="n">
        <v>0.261054</v>
      </c>
      <c r="H21" s="11" t="n">
        <v>1.377</v>
      </c>
      <c r="I21" s="9" t="s">
        <v>70</v>
      </c>
      <c r="J21" s="9"/>
    </row>
    <row r="22" customFormat="false" ht="15" hidden="false" customHeight="false" outlineLevel="0" collapsed="false">
      <c r="A22" s="6" t="s">
        <v>48</v>
      </c>
      <c r="B22" s="7" t="s">
        <v>69</v>
      </c>
      <c r="C22" s="8" t="n">
        <v>0.942581</v>
      </c>
      <c r="D22" s="8" t="n">
        <v>0.44032</v>
      </c>
      <c r="E22" s="8" t="n">
        <v>2.0178</v>
      </c>
      <c r="F22" s="8" t="n">
        <v>-0.059134</v>
      </c>
      <c r="G22" s="8" t="n">
        <v>0.388336</v>
      </c>
      <c r="H22" s="8" t="n">
        <v>-0.152</v>
      </c>
      <c r="I22" s="6" t="s">
        <v>71</v>
      </c>
      <c r="J22" s="6"/>
    </row>
    <row r="23" customFormat="false" ht="15" hidden="false" customHeight="false" outlineLevel="0" collapsed="false">
      <c r="A23" s="9" t="s">
        <v>51</v>
      </c>
      <c r="B23" s="10" t="s">
        <v>69</v>
      </c>
      <c r="C23" s="11" t="n">
        <v>1.15435</v>
      </c>
      <c r="D23" s="11" t="n">
        <v>0.63207</v>
      </c>
      <c r="E23" s="11" t="n">
        <v>2.1082</v>
      </c>
      <c r="F23" s="11" t="n">
        <v>0.143538</v>
      </c>
      <c r="G23" s="11" t="n">
        <v>0.307294</v>
      </c>
      <c r="H23" s="11" t="n">
        <v>0.467</v>
      </c>
      <c r="I23" s="9" t="s">
        <v>72</v>
      </c>
      <c r="J23" s="9"/>
    </row>
    <row r="24" customFormat="false" ht="15" hidden="false" customHeight="false" outlineLevel="0" collapsed="false">
      <c r="A24" s="6" t="s">
        <v>42</v>
      </c>
      <c r="B24" s="7" t="s">
        <v>73</v>
      </c>
      <c r="C24" s="8" t="n">
        <v>0.180573</v>
      </c>
      <c r="D24" s="8" t="n">
        <v>0.10665</v>
      </c>
      <c r="E24" s="8" t="n">
        <v>0.3057</v>
      </c>
      <c r="F24" s="8" t="n">
        <v>-1.711621</v>
      </c>
      <c r="G24" s="8" t="n">
        <v>0.268656</v>
      </c>
      <c r="H24" s="8" t="n">
        <v>-6.371</v>
      </c>
      <c r="I24" s="6" t="s">
        <v>44</v>
      </c>
      <c r="J24" s="6" t="s">
        <v>45</v>
      </c>
    </row>
    <row r="25" customFormat="false" ht="15" hidden="false" customHeight="false" outlineLevel="0" collapsed="false">
      <c r="A25" s="9" t="s">
        <v>46</v>
      </c>
      <c r="B25" s="10" t="s">
        <v>73</v>
      </c>
      <c r="C25" s="11" t="n">
        <v>0.152059</v>
      </c>
      <c r="D25" s="11" t="n">
        <v>0.07955</v>
      </c>
      <c r="E25" s="11" t="n">
        <v>0.2907</v>
      </c>
      <c r="F25" s="11" t="n">
        <v>-1.883489</v>
      </c>
      <c r="G25" s="11" t="n">
        <v>0.330587</v>
      </c>
      <c r="H25" s="11" t="n">
        <v>-5.697</v>
      </c>
      <c r="I25" s="9" t="s">
        <v>44</v>
      </c>
      <c r="J25" s="9" t="s">
        <v>45</v>
      </c>
    </row>
    <row r="26" customFormat="false" ht="15" hidden="false" customHeight="false" outlineLevel="0" collapsed="false">
      <c r="A26" s="6" t="s">
        <v>48</v>
      </c>
      <c r="B26" s="7" t="s">
        <v>73</v>
      </c>
      <c r="C26" s="8" t="n">
        <v>0.101014</v>
      </c>
      <c r="D26" s="8" t="n">
        <v>0.05971</v>
      </c>
      <c r="E26" s="8" t="n">
        <v>0.1709</v>
      </c>
      <c r="F26" s="8" t="n">
        <v>-2.292496</v>
      </c>
      <c r="G26" s="8" t="n">
        <v>0.268228</v>
      </c>
      <c r="H26" s="8" t="n">
        <v>-8.547</v>
      </c>
      <c r="I26" s="6" t="s">
        <v>44</v>
      </c>
      <c r="J26" s="6" t="s">
        <v>45</v>
      </c>
    </row>
    <row r="27" customFormat="false" ht="15" hidden="false" customHeight="false" outlineLevel="0" collapsed="false">
      <c r="A27" s="9" t="s">
        <v>51</v>
      </c>
      <c r="B27" s="10" t="s">
        <v>73</v>
      </c>
      <c r="C27" s="11" t="n">
        <v>0.340259</v>
      </c>
      <c r="D27" s="11" t="n">
        <v>0.19515</v>
      </c>
      <c r="E27" s="11" t="n">
        <v>0.5933</v>
      </c>
      <c r="F27" s="11" t="n">
        <v>-1.078047</v>
      </c>
      <c r="G27" s="11" t="n">
        <v>0.283638</v>
      </c>
      <c r="H27" s="11" t="n">
        <v>-3.801</v>
      </c>
      <c r="I27" s="9" t="s">
        <v>44</v>
      </c>
      <c r="J27" s="9" t="s">
        <v>45</v>
      </c>
    </row>
    <row r="28" customFormat="false" ht="15" hidden="false" customHeight="false" outlineLevel="0" collapsed="false">
      <c r="A28" s="6" t="s">
        <v>42</v>
      </c>
      <c r="B28" s="7" t="s">
        <v>74</v>
      </c>
      <c r="C28" s="8" t="n">
        <v>3.451848</v>
      </c>
      <c r="D28" s="8" t="n">
        <v>2.00335</v>
      </c>
      <c r="E28" s="8" t="n">
        <v>5.9477</v>
      </c>
      <c r="F28" s="8" t="n">
        <v>1.23891</v>
      </c>
      <c r="G28" s="8" t="n">
        <v>0.277601</v>
      </c>
      <c r="H28" s="8" t="n">
        <v>4.463</v>
      </c>
      <c r="I28" s="6" t="s">
        <v>44</v>
      </c>
      <c r="J28" s="6" t="s">
        <v>45</v>
      </c>
    </row>
    <row r="29" customFormat="false" ht="15" hidden="false" customHeight="false" outlineLevel="0" collapsed="false">
      <c r="A29" s="9" t="s">
        <v>46</v>
      </c>
      <c r="B29" s="10" t="s">
        <v>74</v>
      </c>
      <c r="C29" s="11" t="n">
        <v>1.913365</v>
      </c>
      <c r="D29" s="11" t="n">
        <v>1.10359</v>
      </c>
      <c r="E29" s="11" t="n">
        <v>3.3173</v>
      </c>
      <c r="F29" s="11" t="n">
        <v>0.648864</v>
      </c>
      <c r="G29" s="11" t="n">
        <v>0.28077</v>
      </c>
      <c r="H29" s="11" t="n">
        <v>2.311</v>
      </c>
      <c r="I29" s="9" t="s">
        <v>75</v>
      </c>
      <c r="J29" s="9" t="s">
        <v>61</v>
      </c>
    </row>
    <row r="30" customFormat="false" ht="15" hidden="false" customHeight="false" outlineLevel="0" collapsed="false">
      <c r="A30" s="6" t="s">
        <v>48</v>
      </c>
      <c r="B30" s="7" t="s">
        <v>74</v>
      </c>
      <c r="C30" s="8" t="n">
        <v>5.45068</v>
      </c>
      <c r="D30" s="8" t="n">
        <v>3.09653</v>
      </c>
      <c r="E30" s="8" t="n">
        <v>9.5946</v>
      </c>
      <c r="F30" s="8" t="n">
        <v>1.69574</v>
      </c>
      <c r="G30" s="8" t="n">
        <v>0.288505</v>
      </c>
      <c r="H30" s="8" t="n">
        <v>5.878</v>
      </c>
      <c r="I30" s="6" t="s">
        <v>44</v>
      </c>
      <c r="J30" s="6" t="s">
        <v>45</v>
      </c>
    </row>
    <row r="31" customFormat="false" ht="15" hidden="false" customHeight="false" outlineLevel="0" collapsed="false">
      <c r="A31" s="9" t="s">
        <v>51</v>
      </c>
      <c r="B31" s="10" t="s">
        <v>74</v>
      </c>
      <c r="C31" s="11" t="n">
        <v>2.291426</v>
      </c>
      <c r="D31" s="11" t="n">
        <v>1.21579</v>
      </c>
      <c r="E31" s="11" t="n">
        <v>4.3187</v>
      </c>
      <c r="F31" s="11" t="n">
        <v>0.829174</v>
      </c>
      <c r="G31" s="11" t="n">
        <v>0.323364</v>
      </c>
      <c r="H31" s="11" t="n">
        <v>2.564</v>
      </c>
      <c r="I31" s="9" t="s">
        <v>49</v>
      </c>
      <c r="J31" s="9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8"/>
    <col collapsed="false" customWidth="true" hidden="false" outlineLevel="0" max="10" min="3" style="0" width="11"/>
  </cols>
  <sheetData>
    <row r="1" customFormat="false" ht="16.15" hidden="false" customHeight="false" outlineLevel="0" collapsed="false">
      <c r="A1" s="1" t="s">
        <v>76</v>
      </c>
    </row>
    <row r="2" customFormat="false" ht="15" hidden="false" customHeight="false" outlineLevel="0" collapsed="false">
      <c r="A2" s="2" t="s">
        <v>77</v>
      </c>
    </row>
    <row r="4" customFormat="false" ht="15" hidden="false" customHeight="false" outlineLevel="0" collapsed="false">
      <c r="A4" s="5" t="s">
        <v>32</v>
      </c>
      <c r="B4" s="5" t="s">
        <v>33</v>
      </c>
      <c r="C4" s="5" t="s">
        <v>34</v>
      </c>
      <c r="D4" s="5" t="s">
        <v>35</v>
      </c>
      <c r="E4" s="5" t="s">
        <v>36</v>
      </c>
      <c r="F4" s="5" t="s">
        <v>37</v>
      </c>
      <c r="G4" s="5" t="s">
        <v>38</v>
      </c>
      <c r="H4" s="5" t="s">
        <v>39</v>
      </c>
      <c r="I4" s="5" t="s">
        <v>40</v>
      </c>
      <c r="J4" s="5" t="s">
        <v>41</v>
      </c>
    </row>
    <row r="5" customFormat="false" ht="15" hidden="false" customHeight="false" outlineLevel="0" collapsed="false">
      <c r="A5" s="6" t="s">
        <v>42</v>
      </c>
      <c r="B5" s="7" t="s">
        <v>43</v>
      </c>
      <c r="C5" s="8" t="n">
        <v>2.696132</v>
      </c>
      <c r="D5" s="8" t="n">
        <v>1.74153</v>
      </c>
      <c r="E5" s="8" t="n">
        <v>4.174</v>
      </c>
      <c r="F5" s="8" t="n">
        <v>0.991818</v>
      </c>
      <c r="G5" s="8" t="n">
        <v>0.222991</v>
      </c>
      <c r="H5" s="8" t="n">
        <v>4.448</v>
      </c>
      <c r="I5" s="6" t="s">
        <v>44</v>
      </c>
      <c r="J5" s="6" t="s">
        <v>45</v>
      </c>
    </row>
    <row r="6" customFormat="false" ht="15" hidden="false" customHeight="false" outlineLevel="0" collapsed="false">
      <c r="A6" s="9" t="s">
        <v>46</v>
      </c>
      <c r="B6" s="10" t="s">
        <v>43</v>
      </c>
      <c r="C6" s="11" t="n">
        <v>0.83079</v>
      </c>
      <c r="D6" s="11" t="n">
        <v>0.48443</v>
      </c>
      <c r="E6" s="11" t="n">
        <v>1.4248</v>
      </c>
      <c r="F6" s="11" t="n">
        <v>-0.185378</v>
      </c>
      <c r="G6" s="11" t="n">
        <v>0.275215</v>
      </c>
      <c r="H6" s="11" t="n">
        <v>-0.674</v>
      </c>
      <c r="I6" s="9" t="s">
        <v>78</v>
      </c>
      <c r="J6" s="9"/>
    </row>
    <row r="7" customFormat="false" ht="15" hidden="false" customHeight="false" outlineLevel="0" collapsed="false">
      <c r="A7" s="6" t="s">
        <v>48</v>
      </c>
      <c r="B7" s="7" t="s">
        <v>43</v>
      </c>
      <c r="C7" s="8" t="n">
        <v>1.997038</v>
      </c>
      <c r="D7" s="8" t="n">
        <v>1.18596</v>
      </c>
      <c r="E7" s="8" t="n">
        <v>3.3628</v>
      </c>
      <c r="F7" s="8" t="n">
        <v>0.691665</v>
      </c>
      <c r="G7" s="8" t="n">
        <v>0.265881</v>
      </c>
      <c r="H7" s="8" t="n">
        <v>2.601</v>
      </c>
      <c r="I7" s="6" t="s">
        <v>79</v>
      </c>
      <c r="J7" s="6" t="s">
        <v>50</v>
      </c>
    </row>
    <row r="8" customFormat="false" ht="15" hidden="false" customHeight="false" outlineLevel="0" collapsed="false">
      <c r="A8" s="9" t="s">
        <v>51</v>
      </c>
      <c r="B8" s="10" t="s">
        <v>43</v>
      </c>
      <c r="C8" s="11" t="n">
        <v>1.884132</v>
      </c>
      <c r="D8" s="11" t="n">
        <v>1.16072</v>
      </c>
      <c r="E8" s="11" t="n">
        <v>3.0584</v>
      </c>
      <c r="F8" s="11" t="n">
        <v>0.633467</v>
      </c>
      <c r="G8" s="11" t="n">
        <v>0.247159</v>
      </c>
      <c r="H8" s="11" t="n">
        <v>2.563</v>
      </c>
      <c r="I8" s="9" t="s">
        <v>49</v>
      </c>
      <c r="J8" s="9" t="s">
        <v>61</v>
      </c>
    </row>
    <row r="9" customFormat="false" ht="15" hidden="false" customHeight="false" outlineLevel="0" collapsed="false">
      <c r="A9" s="6" t="s">
        <v>42</v>
      </c>
      <c r="B9" s="7" t="s">
        <v>53</v>
      </c>
      <c r="C9" s="8" t="n">
        <v>1.943418</v>
      </c>
      <c r="D9" s="8" t="n">
        <v>1.27211</v>
      </c>
      <c r="E9" s="8" t="n">
        <v>2.969</v>
      </c>
      <c r="F9" s="8" t="n">
        <v>0.664448</v>
      </c>
      <c r="G9" s="8" t="n">
        <v>0.216214</v>
      </c>
      <c r="H9" s="8" t="n">
        <v>3.073</v>
      </c>
      <c r="I9" s="6" t="s">
        <v>80</v>
      </c>
      <c r="J9" s="6" t="s">
        <v>50</v>
      </c>
    </row>
    <row r="10" customFormat="false" ht="15" hidden="false" customHeight="false" outlineLevel="0" collapsed="false">
      <c r="A10" s="9" t="s">
        <v>46</v>
      </c>
      <c r="B10" s="10" t="s">
        <v>53</v>
      </c>
      <c r="C10" s="11" t="n">
        <v>1.005318</v>
      </c>
      <c r="D10" s="11" t="n">
        <v>0.62233</v>
      </c>
      <c r="E10" s="11" t="n">
        <v>1.624</v>
      </c>
      <c r="F10" s="11" t="n">
        <v>0.005304</v>
      </c>
      <c r="G10" s="11" t="n">
        <v>0.244694</v>
      </c>
      <c r="H10" s="11" t="n">
        <v>0.022</v>
      </c>
      <c r="I10" s="9" t="s">
        <v>81</v>
      </c>
      <c r="J10" s="9"/>
    </row>
    <row r="11" customFormat="false" ht="15" hidden="false" customHeight="false" outlineLevel="0" collapsed="false">
      <c r="A11" s="6" t="s">
        <v>48</v>
      </c>
      <c r="B11" s="7" t="s">
        <v>53</v>
      </c>
      <c r="C11" s="8" t="n">
        <v>1.091834</v>
      </c>
      <c r="D11" s="8" t="n">
        <v>0.74657</v>
      </c>
      <c r="E11" s="8" t="n">
        <v>1.5968</v>
      </c>
      <c r="F11" s="8" t="n">
        <v>0.087859</v>
      </c>
      <c r="G11" s="8" t="n">
        <v>0.193946</v>
      </c>
      <c r="H11" s="8" t="n">
        <v>0.453</v>
      </c>
      <c r="I11" s="6" t="s">
        <v>82</v>
      </c>
      <c r="J11" s="6"/>
    </row>
    <row r="12" customFormat="false" ht="15" hidden="false" customHeight="false" outlineLevel="0" collapsed="false">
      <c r="A12" s="9" t="s">
        <v>51</v>
      </c>
      <c r="B12" s="10" t="s">
        <v>53</v>
      </c>
      <c r="C12" s="11" t="n">
        <v>1.078039</v>
      </c>
      <c r="D12" s="11" t="n">
        <v>0.73173</v>
      </c>
      <c r="E12" s="11" t="n">
        <v>1.5882</v>
      </c>
      <c r="F12" s="11" t="n">
        <v>0.075143</v>
      </c>
      <c r="G12" s="11" t="n">
        <v>0.197698</v>
      </c>
      <c r="H12" s="11" t="n">
        <v>0.38</v>
      </c>
      <c r="I12" s="9" t="s">
        <v>83</v>
      </c>
      <c r="J12" s="9"/>
    </row>
    <row r="13" customFormat="false" ht="15" hidden="false" customHeight="false" outlineLevel="0" collapsed="false">
      <c r="A13" s="6" t="s">
        <v>42</v>
      </c>
      <c r="B13" s="7" t="s">
        <v>57</v>
      </c>
      <c r="C13" s="8" t="n">
        <v>0.599151</v>
      </c>
      <c r="D13" s="8" t="n">
        <v>0.36841</v>
      </c>
      <c r="E13" s="8" t="n">
        <v>0.9744</v>
      </c>
      <c r="F13" s="8" t="n">
        <v>-0.512242</v>
      </c>
      <c r="G13" s="8" t="n">
        <v>0.248132</v>
      </c>
      <c r="H13" s="8" t="n">
        <v>-2.064</v>
      </c>
      <c r="I13" s="6" t="s">
        <v>84</v>
      </c>
      <c r="J13" s="6" t="s">
        <v>61</v>
      </c>
    </row>
    <row r="14" customFormat="false" ht="15" hidden="false" customHeight="false" outlineLevel="0" collapsed="false">
      <c r="A14" s="9" t="s">
        <v>46</v>
      </c>
      <c r="B14" s="10" t="s">
        <v>57</v>
      </c>
      <c r="C14" s="11" t="n">
        <v>1.115854</v>
      </c>
      <c r="D14" s="11" t="n">
        <v>0.66072</v>
      </c>
      <c r="E14" s="11" t="n">
        <v>1.8845</v>
      </c>
      <c r="F14" s="11" t="n">
        <v>0.10962</v>
      </c>
      <c r="G14" s="11" t="n">
        <v>0.267374</v>
      </c>
      <c r="H14" s="11" t="n">
        <v>0.41</v>
      </c>
      <c r="I14" s="9" t="s">
        <v>85</v>
      </c>
      <c r="J14" s="9"/>
    </row>
    <row r="15" customFormat="false" ht="15" hidden="false" customHeight="false" outlineLevel="0" collapsed="false">
      <c r="A15" s="6" t="s">
        <v>48</v>
      </c>
      <c r="B15" s="7" t="s">
        <v>57</v>
      </c>
      <c r="C15" s="8" t="n">
        <v>2.101242</v>
      </c>
      <c r="D15" s="8" t="n">
        <v>1.25536</v>
      </c>
      <c r="E15" s="8" t="n">
        <v>3.5171</v>
      </c>
      <c r="F15" s="8" t="n">
        <v>0.742529</v>
      </c>
      <c r="G15" s="8" t="n">
        <v>0.262816</v>
      </c>
      <c r="H15" s="8" t="n">
        <v>2.825</v>
      </c>
      <c r="I15" s="6" t="s">
        <v>86</v>
      </c>
      <c r="J15" s="6" t="s">
        <v>50</v>
      </c>
    </row>
    <row r="16" customFormat="false" ht="15" hidden="false" customHeight="false" outlineLevel="0" collapsed="false">
      <c r="A16" s="9" t="s">
        <v>51</v>
      </c>
      <c r="B16" s="10" t="s">
        <v>57</v>
      </c>
      <c r="C16" s="11" t="n">
        <v>0.993285</v>
      </c>
      <c r="D16" s="11" t="n">
        <v>0.61683</v>
      </c>
      <c r="E16" s="11" t="n">
        <v>1.5995</v>
      </c>
      <c r="F16" s="11" t="n">
        <v>-0.006738</v>
      </c>
      <c r="G16" s="11" t="n">
        <v>0.243074</v>
      </c>
      <c r="H16" s="11" t="n">
        <v>-0.028</v>
      </c>
      <c r="I16" s="9" t="s">
        <v>47</v>
      </c>
      <c r="J16" s="9"/>
    </row>
    <row r="17" customFormat="false" ht="15" hidden="false" customHeight="false" outlineLevel="0" collapsed="false">
      <c r="A17" s="6" t="s">
        <v>42</v>
      </c>
      <c r="B17" s="7" t="s">
        <v>69</v>
      </c>
      <c r="C17" s="8" t="n">
        <v>0.575328</v>
      </c>
      <c r="D17" s="8" t="n">
        <v>0.32993</v>
      </c>
      <c r="E17" s="8" t="n">
        <v>1.0033</v>
      </c>
      <c r="F17" s="8" t="n">
        <v>-0.552814</v>
      </c>
      <c r="G17" s="8" t="n">
        <v>0.283712</v>
      </c>
      <c r="H17" s="8" t="n">
        <v>-1.949</v>
      </c>
      <c r="I17" s="6" t="s">
        <v>87</v>
      </c>
      <c r="J17" s="6" t="s">
        <v>67</v>
      </c>
    </row>
    <row r="18" customFormat="false" ht="15" hidden="false" customHeight="false" outlineLevel="0" collapsed="false">
      <c r="A18" s="9" t="s">
        <v>46</v>
      </c>
      <c r="B18" s="10" t="s">
        <v>69</v>
      </c>
      <c r="C18" s="11" t="n">
        <v>1.943241</v>
      </c>
      <c r="D18" s="11" t="n">
        <v>1.12323</v>
      </c>
      <c r="E18" s="11" t="n">
        <v>3.3619</v>
      </c>
      <c r="F18" s="11" t="n">
        <v>0.664357</v>
      </c>
      <c r="G18" s="11" t="n">
        <v>0.279675</v>
      </c>
      <c r="H18" s="11" t="n">
        <v>2.375</v>
      </c>
      <c r="I18" s="9" t="s">
        <v>88</v>
      </c>
      <c r="J18" s="9" t="s">
        <v>61</v>
      </c>
    </row>
    <row r="19" customFormat="false" ht="15" hidden="false" customHeight="false" outlineLevel="0" collapsed="false">
      <c r="A19" s="6" t="s">
        <v>48</v>
      </c>
      <c r="B19" s="7" t="s">
        <v>69</v>
      </c>
      <c r="C19" s="8" t="n">
        <v>1.146195</v>
      </c>
      <c r="D19" s="8" t="n">
        <v>0.48082</v>
      </c>
      <c r="E19" s="8" t="n">
        <v>2.7323</v>
      </c>
      <c r="F19" s="8" t="n">
        <v>0.136448</v>
      </c>
      <c r="G19" s="8" t="n">
        <v>0.443224</v>
      </c>
      <c r="H19" s="8" t="n">
        <v>0.308</v>
      </c>
      <c r="I19" s="6" t="s">
        <v>89</v>
      </c>
      <c r="J19" s="6"/>
    </row>
    <row r="20" customFormat="false" ht="15" hidden="false" customHeight="false" outlineLevel="0" collapsed="false">
      <c r="A20" s="9" t="s">
        <v>51</v>
      </c>
      <c r="B20" s="10" t="s">
        <v>69</v>
      </c>
      <c r="C20" s="11" t="n">
        <v>1.257761</v>
      </c>
      <c r="D20" s="11" t="n">
        <v>0.62258</v>
      </c>
      <c r="E20" s="11" t="n">
        <v>2.541</v>
      </c>
      <c r="F20" s="11" t="n">
        <v>0.229333</v>
      </c>
      <c r="G20" s="11" t="n">
        <v>0.358787</v>
      </c>
      <c r="H20" s="11" t="n">
        <v>0.639</v>
      </c>
      <c r="I20" s="9" t="s">
        <v>90</v>
      </c>
      <c r="J20" s="9"/>
    </row>
    <row r="21" customFormat="false" ht="15" hidden="false" customHeight="false" outlineLevel="0" collapsed="false">
      <c r="A21" s="6" t="s">
        <v>42</v>
      </c>
      <c r="B21" s="7" t="s">
        <v>73</v>
      </c>
      <c r="C21" s="8" t="n">
        <v>0.124788</v>
      </c>
      <c r="D21" s="8" t="n">
        <v>0.08232</v>
      </c>
      <c r="E21" s="8" t="n">
        <v>0.1892</v>
      </c>
      <c r="F21" s="8" t="n">
        <v>-2.081139</v>
      </c>
      <c r="G21" s="8" t="n">
        <v>0.212227</v>
      </c>
      <c r="H21" s="8" t="n">
        <v>-9.806</v>
      </c>
      <c r="I21" s="6" t="s">
        <v>44</v>
      </c>
      <c r="J21" s="6" t="s">
        <v>45</v>
      </c>
    </row>
    <row r="22" customFormat="false" ht="15" hidden="false" customHeight="false" outlineLevel="0" collapsed="false">
      <c r="A22" s="9" t="s">
        <v>46</v>
      </c>
      <c r="B22" s="10" t="s">
        <v>73</v>
      </c>
      <c r="C22" s="11" t="n">
        <v>0.122214</v>
      </c>
      <c r="D22" s="11" t="n">
        <v>0.0666</v>
      </c>
      <c r="E22" s="11" t="n">
        <v>0.2243</v>
      </c>
      <c r="F22" s="11" t="n">
        <v>-2.10198</v>
      </c>
      <c r="G22" s="11" t="n">
        <v>0.309745</v>
      </c>
      <c r="H22" s="11" t="n">
        <v>-6.786</v>
      </c>
      <c r="I22" s="9" t="s">
        <v>44</v>
      </c>
      <c r="J22" s="9" t="s">
        <v>45</v>
      </c>
    </row>
    <row r="23" customFormat="false" ht="15" hidden="false" customHeight="false" outlineLevel="0" collapsed="false">
      <c r="A23" s="6" t="s">
        <v>48</v>
      </c>
      <c r="B23" s="7" t="s">
        <v>73</v>
      </c>
      <c r="C23" s="8" t="n">
        <v>0.07507</v>
      </c>
      <c r="D23" s="8" t="n">
        <v>0.04525</v>
      </c>
      <c r="E23" s="8" t="n">
        <v>0.1246</v>
      </c>
      <c r="F23" s="8" t="n">
        <v>-2.58934</v>
      </c>
      <c r="G23" s="8" t="n">
        <v>0.258332</v>
      </c>
      <c r="H23" s="8" t="n">
        <v>-10.023</v>
      </c>
      <c r="I23" s="6" t="s">
        <v>44</v>
      </c>
      <c r="J23" s="6" t="s">
        <v>45</v>
      </c>
    </row>
    <row r="24" customFormat="false" ht="15" hidden="false" customHeight="false" outlineLevel="0" collapsed="false">
      <c r="A24" s="9" t="s">
        <v>51</v>
      </c>
      <c r="B24" s="10" t="s">
        <v>73</v>
      </c>
      <c r="C24" s="11" t="n">
        <v>0.172729</v>
      </c>
      <c r="D24" s="11" t="n">
        <v>0.09237</v>
      </c>
      <c r="E24" s="11" t="n">
        <v>0.323</v>
      </c>
      <c r="F24" s="11" t="n">
        <v>-1.756033</v>
      </c>
      <c r="G24" s="11" t="n">
        <v>0.319365</v>
      </c>
      <c r="H24" s="11" t="n">
        <v>-5.499</v>
      </c>
      <c r="I24" s="9" t="s">
        <v>44</v>
      </c>
      <c r="J24" s="9" t="s">
        <v>45</v>
      </c>
    </row>
    <row r="25" customFormat="false" ht="15" hidden="false" customHeight="false" outlineLevel="0" collapsed="false">
      <c r="A25" s="6" t="s">
        <v>42</v>
      </c>
      <c r="B25" s="7" t="s">
        <v>74</v>
      </c>
      <c r="C25" s="8" t="n">
        <v>3.260018</v>
      </c>
      <c r="D25" s="8" t="n">
        <v>2.06281</v>
      </c>
      <c r="E25" s="8" t="n">
        <v>5.1521</v>
      </c>
      <c r="F25" s="8" t="n">
        <v>1.181733</v>
      </c>
      <c r="G25" s="8" t="n">
        <v>0.233507</v>
      </c>
      <c r="H25" s="8" t="n">
        <v>5.061</v>
      </c>
      <c r="I25" s="6" t="s">
        <v>44</v>
      </c>
      <c r="J25" s="6" t="s">
        <v>45</v>
      </c>
    </row>
    <row r="26" customFormat="false" ht="15" hidden="false" customHeight="false" outlineLevel="0" collapsed="false">
      <c r="A26" s="9" t="s">
        <v>46</v>
      </c>
      <c r="B26" s="10" t="s">
        <v>74</v>
      </c>
      <c r="C26" s="11" t="n">
        <v>1.759658</v>
      </c>
      <c r="D26" s="11" t="n">
        <v>1.02026</v>
      </c>
      <c r="E26" s="11" t="n">
        <v>3.0349</v>
      </c>
      <c r="F26" s="11" t="n">
        <v>0.565119</v>
      </c>
      <c r="G26" s="11" t="n">
        <v>0.2781</v>
      </c>
      <c r="H26" s="11" t="n">
        <v>2.032</v>
      </c>
      <c r="I26" s="9" t="s">
        <v>91</v>
      </c>
      <c r="J26" s="9" t="s">
        <v>61</v>
      </c>
    </row>
    <row r="27" customFormat="false" ht="15" hidden="false" customHeight="false" outlineLevel="0" collapsed="false">
      <c r="A27" s="6" t="s">
        <v>48</v>
      </c>
      <c r="B27" s="7" t="s">
        <v>74</v>
      </c>
      <c r="C27" s="8" t="n">
        <v>5.917408</v>
      </c>
      <c r="D27" s="8" t="n">
        <v>3.41387</v>
      </c>
      <c r="E27" s="8" t="n">
        <v>10.2569</v>
      </c>
      <c r="F27" s="8" t="n">
        <v>1.777899</v>
      </c>
      <c r="G27" s="8" t="n">
        <v>0.280644</v>
      </c>
      <c r="H27" s="8" t="n">
        <v>6.335</v>
      </c>
      <c r="I27" s="6" t="s">
        <v>44</v>
      </c>
      <c r="J27" s="6" t="s">
        <v>45</v>
      </c>
    </row>
    <row r="28" customFormat="false" ht="15" hidden="false" customHeight="false" outlineLevel="0" collapsed="false">
      <c r="A28" s="9" t="s">
        <v>51</v>
      </c>
      <c r="B28" s="10" t="s">
        <v>74</v>
      </c>
      <c r="C28" s="11" t="n">
        <v>2.787455</v>
      </c>
      <c r="D28" s="11" t="n">
        <v>1.36261</v>
      </c>
      <c r="E28" s="11" t="n">
        <v>5.7022</v>
      </c>
      <c r="F28" s="11" t="n">
        <v>1.025129</v>
      </c>
      <c r="G28" s="11" t="n">
        <v>0.365174</v>
      </c>
      <c r="H28" s="11" t="n">
        <v>2.807</v>
      </c>
      <c r="I28" s="9" t="s">
        <v>86</v>
      </c>
      <c r="J28" s="9" t="s">
        <v>50</v>
      </c>
    </row>
    <row r="30" customFormat="false" ht="15" hidden="false" customHeight="false" outlineLevel="0" collapsed="false">
      <c r="A30" s="4" t="s">
        <v>92</v>
      </c>
    </row>
    <row r="31" customFormat="false" ht="15" hidden="false" customHeight="false" outlineLevel="0" collapsed="false">
      <c r="A31" s="5" t="s">
        <v>33</v>
      </c>
      <c r="B31" s="5"/>
      <c r="C31" s="5" t="s">
        <v>34</v>
      </c>
      <c r="D31" s="5" t="s">
        <v>35</v>
      </c>
      <c r="E31" s="5" t="s">
        <v>36</v>
      </c>
      <c r="F31" s="5" t="s">
        <v>37</v>
      </c>
      <c r="G31" s="5" t="s">
        <v>38</v>
      </c>
      <c r="H31" s="5" t="s">
        <v>39</v>
      </c>
      <c r="I31" s="5" t="s">
        <v>40</v>
      </c>
      <c r="J31" s="5" t="s">
        <v>41</v>
      </c>
    </row>
    <row r="32" customFormat="false" ht="15" hidden="false" customHeight="false" outlineLevel="0" collapsed="false">
      <c r="A32" s="7" t="s">
        <v>93</v>
      </c>
      <c r="B32" s="6"/>
      <c r="C32" s="8" t="n">
        <v>1.230167</v>
      </c>
      <c r="D32" s="8" t="n">
        <v>0.9244</v>
      </c>
      <c r="E32" s="8" t="n">
        <v>1.6371</v>
      </c>
      <c r="F32" s="8" t="n">
        <v>0.20715</v>
      </c>
      <c r="G32" s="8" t="n">
        <v>0.145798</v>
      </c>
      <c r="H32" s="8" t="n">
        <v>1.421</v>
      </c>
      <c r="I32" s="6" t="s">
        <v>94</v>
      </c>
      <c r="J32" s="6"/>
    </row>
    <row r="33" customFormat="false" ht="15" hidden="false" customHeight="false" outlineLevel="0" collapsed="false">
      <c r="A33" s="7" t="s">
        <v>95</v>
      </c>
      <c r="B33" s="6"/>
      <c r="C33" s="8" t="n">
        <v>1.524547</v>
      </c>
      <c r="D33" s="8" t="n">
        <v>0.85694</v>
      </c>
      <c r="E33" s="8" t="n">
        <v>2.7123</v>
      </c>
      <c r="F33" s="8" t="n">
        <v>0.421697</v>
      </c>
      <c r="G33" s="8" t="n">
        <v>0.293927</v>
      </c>
      <c r="H33" s="8" t="n">
        <v>1.435</v>
      </c>
      <c r="I33" s="6" t="s">
        <v>96</v>
      </c>
      <c r="J33" s="6"/>
    </row>
    <row r="34" customFormat="false" ht="15" hidden="false" customHeight="false" outlineLevel="0" collapsed="false">
      <c r="A34" s="7" t="s">
        <v>97</v>
      </c>
      <c r="B34" s="6"/>
      <c r="C34" s="8" t="n">
        <v>1.925319</v>
      </c>
      <c r="D34" s="8" t="n">
        <v>1.38384</v>
      </c>
      <c r="E34" s="8" t="n">
        <v>2.6787</v>
      </c>
      <c r="F34" s="8" t="n">
        <v>0.655092</v>
      </c>
      <c r="G34" s="8" t="n">
        <v>0.168488</v>
      </c>
      <c r="H34" s="8" t="n">
        <v>3.888</v>
      </c>
      <c r="I34" s="6" t="s">
        <v>44</v>
      </c>
      <c r="J34" s="6" t="s">
        <v>45</v>
      </c>
    </row>
    <row r="35" customFormat="false" ht="15" hidden="false" customHeight="false" outlineLevel="0" collapsed="false">
      <c r="A35" s="7" t="s">
        <v>98</v>
      </c>
      <c r="B35" s="6"/>
      <c r="C35" s="8" t="n">
        <v>0.324824</v>
      </c>
      <c r="D35" s="8" t="n">
        <v>0.16304</v>
      </c>
      <c r="E35" s="8" t="n">
        <v>0.6472</v>
      </c>
      <c r="F35" s="8" t="n">
        <v>-1.124471</v>
      </c>
      <c r="G35" s="8" t="n">
        <v>0.351694</v>
      </c>
      <c r="H35" s="8" t="n">
        <v>-3.197</v>
      </c>
      <c r="I35" s="6" t="s">
        <v>99</v>
      </c>
      <c r="J35" s="6" t="s">
        <v>50</v>
      </c>
    </row>
    <row r="36" customFormat="false" ht="15" hidden="false" customHeight="false" outlineLevel="0" collapsed="false">
      <c r="A36" s="7" t="s">
        <v>100</v>
      </c>
      <c r="B36" s="6"/>
      <c r="C36" s="8" t="n">
        <v>0.936775</v>
      </c>
      <c r="D36" s="8" t="n">
        <v>0.73431</v>
      </c>
      <c r="E36" s="8" t="n">
        <v>1.1951</v>
      </c>
      <c r="F36" s="8" t="n">
        <v>-0.065312</v>
      </c>
      <c r="G36" s="8" t="n">
        <v>0.124243</v>
      </c>
      <c r="H36" s="8" t="n">
        <v>-0.526</v>
      </c>
      <c r="I36" s="6" t="s">
        <v>101</v>
      </c>
      <c r="J36" s="6"/>
    </row>
    <row r="37" customFormat="false" ht="15" hidden="false" customHeight="false" outlineLevel="0" collapsed="false">
      <c r="A37" s="7" t="s">
        <v>102</v>
      </c>
      <c r="B37" s="6"/>
      <c r="C37" s="8" t="n">
        <v>0.904509</v>
      </c>
      <c r="D37" s="8" t="n">
        <v>0.63697</v>
      </c>
      <c r="E37" s="8" t="n">
        <v>1.2844</v>
      </c>
      <c r="F37" s="8" t="n">
        <v>-0.100363</v>
      </c>
      <c r="G37" s="8" t="n">
        <v>0.178919</v>
      </c>
      <c r="H37" s="8" t="n">
        <v>-0.561</v>
      </c>
      <c r="I37" s="6" t="s">
        <v>103</v>
      </c>
      <c r="J37" s="6"/>
    </row>
    <row r="39" customFormat="false" ht="15" hidden="false" customHeight="false" outlineLevel="0" collapsed="false">
      <c r="A39" s="2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26"/>
  </cols>
  <sheetData>
    <row r="1" customFormat="false" ht="16.15" hidden="false" customHeight="false" outlineLevel="0" collapsed="false">
      <c r="A1" s="1" t="s">
        <v>105</v>
      </c>
    </row>
    <row r="2" customFormat="false" ht="15" hidden="false" customHeight="false" outlineLevel="0" collapsed="false">
      <c r="A2" s="2" t="s">
        <v>106</v>
      </c>
    </row>
    <row r="4" customFormat="false" ht="15" hidden="false" customHeight="false" outlineLevel="0" collapsed="false">
      <c r="A4" s="5" t="s">
        <v>32</v>
      </c>
      <c r="B4" s="5" t="s">
        <v>33</v>
      </c>
      <c r="C4" s="5" t="s">
        <v>107</v>
      </c>
      <c r="D4" s="5" t="s">
        <v>108</v>
      </c>
      <c r="E4" s="5" t="s">
        <v>109</v>
      </c>
      <c r="F4" s="5" t="s">
        <v>110</v>
      </c>
      <c r="G4" s="5" t="s">
        <v>111</v>
      </c>
    </row>
    <row r="5" customFormat="false" ht="15" hidden="false" customHeight="false" outlineLevel="0" collapsed="false">
      <c r="A5" s="9" t="s">
        <v>42</v>
      </c>
      <c r="B5" s="10" t="s">
        <v>43</v>
      </c>
      <c r="C5" s="11" t="n">
        <f aca="false">'Main model'!C4</f>
        <v>2.581078</v>
      </c>
      <c r="D5" s="11" t="n">
        <f aca="false">Robustness!C5</f>
        <v>2.696132</v>
      </c>
      <c r="E5" s="11" t="n">
        <f aca="false">LN(D5)-LN(C5)</f>
        <v>0.0436110121513513</v>
      </c>
      <c r="F5" s="12" t="n">
        <f aca="false">D5/C5-1</f>
        <v>0.044575948499038</v>
      </c>
      <c r="G5" s="9" t="str">
        <f aca="false">IF(AND('Main model'!J4&lt;&gt;"",'Main model'!J4&lt;&gt;".")=AND(Robustness!J5&lt;&gt;"",Robustness!J5&lt;&gt;"."),"unchanged","CHANGES")</f>
        <v>unchanged</v>
      </c>
    </row>
    <row r="6" customFormat="false" ht="15" hidden="false" customHeight="false" outlineLevel="0" collapsed="false">
      <c r="A6" s="6" t="s">
        <v>46</v>
      </c>
      <c r="B6" s="7" t="s">
        <v>43</v>
      </c>
      <c r="C6" s="8" t="n">
        <f aca="false">'Main model'!C5</f>
        <v>0.992377</v>
      </c>
      <c r="D6" s="8" t="n">
        <f aca="false">Robustness!C6</f>
        <v>0.83079</v>
      </c>
      <c r="E6" s="8" t="n">
        <f aca="false">LN(D6)-LN(C6)</f>
        <v>-0.177726020072142</v>
      </c>
      <c r="F6" s="13" t="n">
        <f aca="false">D6/C6-1</f>
        <v>-0.162828239671012</v>
      </c>
      <c r="G6" s="6" t="str">
        <f aca="false">IF(AND('Main model'!J5&lt;&gt;"",'Main model'!J5&lt;&gt;".")=AND(Robustness!J6&lt;&gt;"",Robustness!J6&lt;&gt;"."),"unchanged","CHANGES")</f>
        <v>unchanged</v>
      </c>
    </row>
    <row r="7" customFormat="false" ht="15" hidden="false" customHeight="false" outlineLevel="0" collapsed="false">
      <c r="A7" s="9" t="s">
        <v>48</v>
      </c>
      <c r="B7" s="10" t="s">
        <v>43</v>
      </c>
      <c r="C7" s="11" t="n">
        <f aca="false">'Main model'!C6</f>
        <v>1.959619</v>
      </c>
      <c r="D7" s="11" t="n">
        <f aca="false">Robustness!C7</f>
        <v>1.997038</v>
      </c>
      <c r="E7" s="11" t="n">
        <f aca="false">LN(D7)-LN(C7)</f>
        <v>0.0189150162038767</v>
      </c>
      <c r="F7" s="12" t="n">
        <f aca="false">D7/C7-1</f>
        <v>0.019095038372255</v>
      </c>
      <c r="G7" s="9" t="str">
        <f aca="false">IF(AND('Main model'!J6&lt;&gt;"",'Main model'!J6&lt;&gt;".")=AND(Robustness!J7&lt;&gt;"",Robustness!J7&lt;&gt;"."),"unchanged","CHANGES")</f>
        <v>unchanged</v>
      </c>
    </row>
    <row r="8" customFormat="false" ht="15" hidden="false" customHeight="false" outlineLevel="0" collapsed="false">
      <c r="A8" s="6" t="s">
        <v>51</v>
      </c>
      <c r="B8" s="7" t="s">
        <v>43</v>
      </c>
      <c r="C8" s="8" t="n">
        <f aca="false">'Main model'!C7</f>
        <v>2.022874</v>
      </c>
      <c r="D8" s="8" t="n">
        <f aca="false">Robustness!C8</f>
        <v>1.884132</v>
      </c>
      <c r="E8" s="8" t="n">
        <f aca="false">LN(D8)-LN(C8)</f>
        <v>-0.0710520351147788</v>
      </c>
      <c r="F8" s="13" t="n">
        <f aca="false">D8/C8-1</f>
        <v>-0.0685865753378608</v>
      </c>
      <c r="G8" s="6" t="str">
        <f aca="false">IF(AND('Main model'!J7&lt;&gt;"",'Main model'!J7&lt;&gt;".")=AND(Robustness!J8&lt;&gt;"",Robustness!J8&lt;&gt;"."),"unchanged","CHANGES")</f>
        <v>unchanged</v>
      </c>
    </row>
    <row r="9" customFormat="false" ht="15" hidden="false" customHeight="false" outlineLevel="0" collapsed="false">
      <c r="A9" s="9" t="s">
        <v>42</v>
      </c>
      <c r="B9" s="10" t="s">
        <v>53</v>
      </c>
      <c r="C9" s="11" t="n">
        <f aca="false">'Main model'!C8</f>
        <v>1.797142</v>
      </c>
      <c r="D9" s="11" t="n">
        <f aca="false">Robustness!C9</f>
        <v>1.943418</v>
      </c>
      <c r="E9" s="11" t="n">
        <f aca="false">LN(D9)-LN(C9)</f>
        <v>0.0782506532289145</v>
      </c>
      <c r="F9" s="12" t="n">
        <f aca="false">D9/C9-1</f>
        <v>0.0813936795200381</v>
      </c>
      <c r="G9" s="9" t="str">
        <f aca="false">IF(AND('Main model'!J8&lt;&gt;"",'Main model'!J8&lt;&gt;".")=AND(Robustness!J9&lt;&gt;"",Robustness!J9&lt;&gt;"."),"unchanged","CHANGES")</f>
        <v>unchanged</v>
      </c>
    </row>
    <row r="10" customFormat="false" ht="15" hidden="false" customHeight="false" outlineLevel="0" collapsed="false">
      <c r="A10" s="6" t="s">
        <v>46</v>
      </c>
      <c r="B10" s="7" t="s">
        <v>53</v>
      </c>
      <c r="C10" s="8" t="n">
        <f aca="false">'Main model'!C9</f>
        <v>1.095253</v>
      </c>
      <c r="D10" s="8" t="n">
        <f aca="false">Robustness!C10</f>
        <v>1.005318</v>
      </c>
      <c r="E10" s="8" t="n">
        <f aca="false">LN(D10)-LN(C10)</f>
        <v>-0.0856814774368842</v>
      </c>
      <c r="F10" s="13" t="n">
        <f aca="false">D10/C10-1</f>
        <v>-0.0821134477604719</v>
      </c>
      <c r="G10" s="6" t="str">
        <f aca="false">IF(AND('Main model'!J9&lt;&gt;"",'Main model'!J9&lt;&gt;".")=AND(Robustness!J10&lt;&gt;"",Robustness!J10&lt;&gt;"."),"unchanged","CHANGES")</f>
        <v>unchanged</v>
      </c>
    </row>
    <row r="11" customFormat="false" ht="15" hidden="false" customHeight="false" outlineLevel="0" collapsed="false">
      <c r="A11" s="9" t="s">
        <v>48</v>
      </c>
      <c r="B11" s="10" t="s">
        <v>53</v>
      </c>
      <c r="C11" s="11" t="n">
        <f aca="false">'Main model'!C10</f>
        <v>1.238088</v>
      </c>
      <c r="D11" s="11" t="n">
        <f aca="false">Robustness!C11</f>
        <v>1.091834</v>
      </c>
      <c r="E11" s="11" t="n">
        <f aca="false">LN(D11)-LN(C11)</f>
        <v>-0.125709403011824</v>
      </c>
      <c r="F11" s="12" t="n">
        <f aca="false">D11/C11-1</f>
        <v>-0.118128921369079</v>
      </c>
      <c r="G11" s="9" t="str">
        <f aca="false">IF(AND('Main model'!J10&lt;&gt;"",'Main model'!J10&lt;&gt;".")=AND(Robustness!J11&lt;&gt;"",Robustness!J11&lt;&gt;"."),"unchanged","CHANGES")</f>
        <v>unchanged</v>
      </c>
    </row>
    <row r="12" customFormat="false" ht="15" hidden="false" customHeight="false" outlineLevel="0" collapsed="false">
      <c r="A12" s="6" t="s">
        <v>51</v>
      </c>
      <c r="B12" s="7" t="s">
        <v>53</v>
      </c>
      <c r="C12" s="8" t="n">
        <f aca="false">'Main model'!C11</f>
        <v>1.133766</v>
      </c>
      <c r="D12" s="8" t="n">
        <f aca="false">Robustness!C12</f>
        <v>1.078039</v>
      </c>
      <c r="E12" s="8" t="n">
        <f aca="false">LN(D12)-LN(C12)</f>
        <v>-0.0504011848662843</v>
      </c>
      <c r="F12" s="13" t="n">
        <f aca="false">D12/C12-1</f>
        <v>-0.0491521178091423</v>
      </c>
      <c r="G12" s="6" t="str">
        <f aca="false">IF(AND('Main model'!J11&lt;&gt;"",'Main model'!J11&lt;&gt;".")=AND(Robustness!J12&lt;&gt;"",Robustness!J12&lt;&gt;"."),"unchanged","CHANGES")</f>
        <v>unchanged</v>
      </c>
    </row>
    <row r="13" customFormat="false" ht="15" hidden="false" customHeight="false" outlineLevel="0" collapsed="false">
      <c r="A13" s="9" t="s">
        <v>42</v>
      </c>
      <c r="B13" s="10" t="s">
        <v>57</v>
      </c>
      <c r="C13" s="11" t="n">
        <f aca="false">'Main model'!C12</f>
        <v>0.646481</v>
      </c>
      <c r="D13" s="11" t="n">
        <f aca="false">Robustness!C13</f>
        <v>0.599151</v>
      </c>
      <c r="E13" s="11" t="n">
        <f aca="false">LN(D13)-LN(C13)</f>
        <v>-0.0760301556039982</v>
      </c>
      <c r="F13" s="12" t="n">
        <f aca="false">D13/C13-1</f>
        <v>-0.0732117417217211</v>
      </c>
      <c r="G13" s="9" t="str">
        <f aca="false">IF(AND('Main model'!J12&lt;&gt;"",'Main model'!J12&lt;&gt;".")=AND(Robustness!J13&lt;&gt;"",Robustness!J13&lt;&gt;"."),"unchanged","CHANGES")</f>
        <v>CHANGES</v>
      </c>
    </row>
    <row r="14" customFormat="false" ht="15" hidden="false" customHeight="false" outlineLevel="0" collapsed="false">
      <c r="A14" s="6" t="s">
        <v>46</v>
      </c>
      <c r="B14" s="7" t="s">
        <v>57</v>
      </c>
      <c r="C14" s="8" t="n">
        <f aca="false">'Main model'!C13</f>
        <v>1.132534</v>
      </c>
      <c r="D14" s="8" t="n">
        <f aca="false">Robustness!C14</f>
        <v>1.115854</v>
      </c>
      <c r="E14" s="8" t="n">
        <f aca="false">LN(D14)-LN(C14)</f>
        <v>-0.0148375689713491</v>
      </c>
      <c r="F14" s="13" t="n">
        <f aca="false">D14/C14-1</f>
        <v>-0.0147280346550303</v>
      </c>
      <c r="G14" s="6" t="str">
        <f aca="false">IF(AND('Main model'!J13&lt;&gt;"",'Main model'!J13&lt;&gt;".")=AND(Robustness!J14&lt;&gt;"",Robustness!J14&lt;&gt;"."),"unchanged","CHANGES")</f>
        <v>unchanged</v>
      </c>
    </row>
    <row r="15" customFormat="false" ht="15" hidden="false" customHeight="false" outlineLevel="0" collapsed="false">
      <c r="A15" s="9" t="s">
        <v>48</v>
      </c>
      <c r="B15" s="10" t="s">
        <v>57</v>
      </c>
      <c r="C15" s="11" t="n">
        <f aca="false">'Main model'!C14</f>
        <v>1.945689</v>
      </c>
      <c r="D15" s="11" t="n">
        <f aca="false">Robustness!C15</f>
        <v>2.101242</v>
      </c>
      <c r="E15" s="11" t="n">
        <f aca="false">LN(D15)-LN(C15)</f>
        <v>0.0769124424889601</v>
      </c>
      <c r="F15" s="12" t="n">
        <f aca="false">D15/C15-1</f>
        <v>0.079947514736425</v>
      </c>
      <c r="G15" s="9" t="str">
        <f aca="false">IF(AND('Main model'!J14&lt;&gt;"",'Main model'!J14&lt;&gt;".")=AND(Robustness!J15&lt;&gt;"",Robustness!J15&lt;&gt;"."),"unchanged","CHANGES")</f>
        <v>unchanged</v>
      </c>
    </row>
    <row r="16" customFormat="false" ht="15" hidden="false" customHeight="false" outlineLevel="0" collapsed="false">
      <c r="A16" s="6" t="s">
        <v>51</v>
      </c>
      <c r="B16" s="7" t="s">
        <v>57</v>
      </c>
      <c r="C16" s="8" t="n">
        <f aca="false">'Main model'!C15</f>
        <v>0.9916</v>
      </c>
      <c r="D16" s="8" t="n">
        <f aca="false">Robustness!C16</f>
        <v>0.993285</v>
      </c>
      <c r="E16" s="8" t="n">
        <f aca="false">LN(D16)-LN(C16)</f>
        <v>0.00169783176835897</v>
      </c>
      <c r="F16" s="13" t="n">
        <f aca="false">D16/C16-1</f>
        <v>0.00169927390076641</v>
      </c>
      <c r="G16" s="6" t="str">
        <f aca="false">IF(AND('Main model'!J15&lt;&gt;"",'Main model'!J15&lt;&gt;".")=AND(Robustness!J16&lt;&gt;"",Robustness!J16&lt;&gt;"."),"unchanged","CHANGES")</f>
        <v>unchanged</v>
      </c>
    </row>
    <row r="17" customFormat="false" ht="15" hidden="false" customHeight="false" outlineLevel="0" collapsed="false">
      <c r="A17" s="9" t="s">
        <v>42</v>
      </c>
      <c r="B17" s="10" t="s">
        <v>69</v>
      </c>
      <c r="C17" s="11" t="n">
        <f aca="false">'Main model'!C20</f>
        <v>0.363044</v>
      </c>
      <c r="D17" s="11" t="n">
        <f aca="false">Robustness!C17</f>
        <v>0.575328</v>
      </c>
      <c r="E17" s="11" t="n">
        <f aca="false">LN(D17)-LN(C17)</f>
        <v>0.460416273903417</v>
      </c>
      <c r="F17" s="12" t="n">
        <f aca="false">D17/C17-1</f>
        <v>0.584733530921872</v>
      </c>
      <c r="G17" s="9" t="str">
        <f aca="false">IF(AND('Main model'!J20&lt;&gt;"",'Main model'!J20&lt;&gt;".")=AND(Robustness!J17&lt;&gt;"",Robustness!J17&lt;&gt;"."),"unchanged","CHANGES")</f>
        <v>CHANGES</v>
      </c>
    </row>
    <row r="18" customFormat="false" ht="15" hidden="false" customHeight="false" outlineLevel="0" collapsed="false">
      <c r="A18" s="6" t="s">
        <v>46</v>
      </c>
      <c r="B18" s="7" t="s">
        <v>69</v>
      </c>
      <c r="C18" s="8" t="n">
        <f aca="false">'Main model'!C21</f>
        <v>1.432593</v>
      </c>
      <c r="D18" s="8" t="n">
        <f aca="false">Robustness!C18</f>
        <v>1.943241</v>
      </c>
      <c r="E18" s="8" t="n">
        <f aca="false">LN(D18)-LN(C18)</f>
        <v>0.304871108735606</v>
      </c>
      <c r="F18" s="13" t="n">
        <f aca="false">D18/C18-1</f>
        <v>0.356450157162572</v>
      </c>
      <c r="G18" s="6" t="str">
        <f aca="false">IF(AND('Main model'!J21&lt;&gt;"",'Main model'!J21&lt;&gt;".")=AND(Robustness!J18&lt;&gt;"",Robustness!J18&lt;&gt;"."),"unchanged","CHANGES")</f>
        <v>CHANGES</v>
      </c>
    </row>
    <row r="19" customFormat="false" ht="15" hidden="false" customHeight="false" outlineLevel="0" collapsed="false">
      <c r="A19" s="9" t="s">
        <v>48</v>
      </c>
      <c r="B19" s="10" t="s">
        <v>69</v>
      </c>
      <c r="C19" s="11" t="n">
        <f aca="false">'Main model'!C22</f>
        <v>0.942581</v>
      </c>
      <c r="D19" s="11" t="n">
        <f aca="false">Robustness!C19</f>
        <v>1.146195</v>
      </c>
      <c r="E19" s="11" t="n">
        <f aca="false">LN(D19)-LN(C19)</f>
        <v>0.195581182593719</v>
      </c>
      <c r="F19" s="12" t="n">
        <f aca="false">D19/C19-1</f>
        <v>0.216017509370548</v>
      </c>
      <c r="G19" s="9" t="str">
        <f aca="false">IF(AND('Main model'!J22&lt;&gt;"",'Main model'!J22&lt;&gt;".")=AND(Robustness!J19&lt;&gt;"",Robustness!J19&lt;&gt;"."),"unchanged","CHANGES")</f>
        <v>unchanged</v>
      </c>
    </row>
    <row r="20" customFormat="false" ht="15" hidden="false" customHeight="false" outlineLevel="0" collapsed="false">
      <c r="A20" s="6" t="s">
        <v>51</v>
      </c>
      <c r="B20" s="7" t="s">
        <v>69</v>
      </c>
      <c r="C20" s="8" t="n">
        <f aca="false">'Main model'!C23</f>
        <v>1.15435</v>
      </c>
      <c r="D20" s="8" t="n">
        <f aca="false">Robustness!C20</f>
        <v>1.257761</v>
      </c>
      <c r="E20" s="8" t="n">
        <f aca="false">LN(D20)-LN(C20)</f>
        <v>0.0857957411310381</v>
      </c>
      <c r="F20" s="13" t="n">
        <f aca="false">D20/C20-1</f>
        <v>0.0895837484298523</v>
      </c>
      <c r="G20" s="6" t="str">
        <f aca="false">IF(AND('Main model'!J23&lt;&gt;"",'Main model'!J23&lt;&gt;".")=AND(Robustness!J20&lt;&gt;"",Robustness!J20&lt;&gt;"."),"unchanged","CHANGES")</f>
        <v>unchanged</v>
      </c>
    </row>
    <row r="21" customFormat="false" ht="15" hidden="false" customHeight="false" outlineLevel="0" collapsed="false">
      <c r="A21" s="9" t="s">
        <v>42</v>
      </c>
      <c r="B21" s="10" t="s">
        <v>73</v>
      </c>
      <c r="C21" s="11" t="n">
        <f aca="false">'Main model'!C24</f>
        <v>0.180573</v>
      </c>
      <c r="D21" s="11" t="n">
        <f aca="false">Robustness!C21</f>
        <v>0.124788</v>
      </c>
      <c r="E21" s="11" t="n">
        <f aca="false">LN(D21)-LN(C21)</f>
        <v>-0.369518830679172</v>
      </c>
      <c r="F21" s="12" t="n">
        <f aca="false">D21/C21-1</f>
        <v>-0.308933229220315</v>
      </c>
      <c r="G21" s="9" t="str">
        <f aca="false">IF(AND('Main model'!J24&lt;&gt;"",'Main model'!J24&lt;&gt;".")=AND(Robustness!J21&lt;&gt;"",Robustness!J21&lt;&gt;"."),"unchanged","CHANGES")</f>
        <v>unchanged</v>
      </c>
    </row>
    <row r="22" customFormat="false" ht="15" hidden="false" customHeight="false" outlineLevel="0" collapsed="false">
      <c r="A22" s="6" t="s">
        <v>46</v>
      </c>
      <c r="B22" s="7" t="s">
        <v>73</v>
      </c>
      <c r="C22" s="8" t="n">
        <f aca="false">'Main model'!C25</f>
        <v>0.152059</v>
      </c>
      <c r="D22" s="8" t="n">
        <f aca="false">Robustness!C22</f>
        <v>0.122214</v>
      </c>
      <c r="E22" s="8" t="n">
        <f aca="false">LN(D22)-LN(C22)</f>
        <v>-0.218494996967168</v>
      </c>
      <c r="F22" s="13" t="n">
        <f aca="false">D22/C22-1</f>
        <v>-0.196272499490329</v>
      </c>
      <c r="G22" s="6" t="str">
        <f aca="false">IF(AND('Main model'!J25&lt;&gt;"",'Main model'!J25&lt;&gt;".")=AND(Robustness!J22&lt;&gt;"",Robustness!J22&lt;&gt;"."),"unchanged","CHANGES")</f>
        <v>unchanged</v>
      </c>
    </row>
    <row r="23" customFormat="false" ht="15" hidden="false" customHeight="false" outlineLevel="0" collapsed="false">
      <c r="A23" s="9" t="s">
        <v>48</v>
      </c>
      <c r="B23" s="10" t="s">
        <v>73</v>
      </c>
      <c r="C23" s="11" t="n">
        <f aca="false">'Main model'!C26</f>
        <v>0.101014</v>
      </c>
      <c r="D23" s="11" t="n">
        <f aca="false">Robustness!C23</f>
        <v>0.07507</v>
      </c>
      <c r="E23" s="11" t="n">
        <f aca="false">LN(D23)-LN(C23)</f>
        <v>-0.296838109511721</v>
      </c>
      <c r="F23" s="12" t="n">
        <f aca="false">D23/C23-1</f>
        <v>-0.256835686142515</v>
      </c>
      <c r="G23" s="9" t="str">
        <f aca="false">IF(AND('Main model'!J26&lt;&gt;"",'Main model'!J26&lt;&gt;".")=AND(Robustness!J23&lt;&gt;"",Robustness!J23&lt;&gt;"."),"unchanged","CHANGES")</f>
        <v>unchanged</v>
      </c>
    </row>
    <row r="24" customFormat="false" ht="15" hidden="false" customHeight="false" outlineLevel="0" collapsed="false">
      <c r="A24" s="6" t="s">
        <v>51</v>
      </c>
      <c r="B24" s="7" t="s">
        <v>73</v>
      </c>
      <c r="C24" s="8" t="n">
        <f aca="false">'Main model'!C27</f>
        <v>0.340259</v>
      </c>
      <c r="D24" s="8" t="n">
        <f aca="false">Robustness!C24</f>
        <v>0.172729</v>
      </c>
      <c r="E24" s="8" t="n">
        <f aca="false">LN(D24)-LN(C24)</f>
        <v>-0.677983200014457</v>
      </c>
      <c r="F24" s="13" t="n">
        <f aca="false">D24/C24-1</f>
        <v>-0.492360231470733</v>
      </c>
      <c r="G24" s="6" t="str">
        <f aca="false">IF(AND('Main model'!J27&lt;&gt;"",'Main model'!J27&lt;&gt;".")=AND(Robustness!J24&lt;&gt;"",Robustness!J24&lt;&gt;"."),"unchanged","CHANGES")</f>
        <v>unchanged</v>
      </c>
    </row>
    <row r="25" customFormat="false" ht="15" hidden="false" customHeight="false" outlineLevel="0" collapsed="false">
      <c r="A25" s="9" t="s">
        <v>42</v>
      </c>
      <c r="B25" s="10" t="s">
        <v>74</v>
      </c>
      <c r="C25" s="11" t="n">
        <f aca="false">'Main model'!C28</f>
        <v>3.451848</v>
      </c>
      <c r="D25" s="11" t="n">
        <f aca="false">Robustness!C25</f>
        <v>3.260018</v>
      </c>
      <c r="E25" s="11" t="n">
        <f aca="false">LN(D25)-LN(C25)</f>
        <v>-0.0571770229709998</v>
      </c>
      <c r="F25" s="12" t="n">
        <f aca="false">D25/C25-1</f>
        <v>-0.0555731306824634</v>
      </c>
      <c r="G25" s="9" t="str">
        <f aca="false">IF(AND('Main model'!J28&lt;&gt;"",'Main model'!J28&lt;&gt;".")=AND(Robustness!J25&lt;&gt;"",Robustness!J25&lt;&gt;"."),"unchanged","CHANGES")</f>
        <v>unchanged</v>
      </c>
    </row>
    <row r="26" customFormat="false" ht="15" hidden="false" customHeight="false" outlineLevel="0" collapsed="false">
      <c r="A26" s="6" t="s">
        <v>46</v>
      </c>
      <c r="B26" s="7" t="s">
        <v>74</v>
      </c>
      <c r="C26" s="8" t="n">
        <f aca="false">'Main model'!C29</f>
        <v>1.913365</v>
      </c>
      <c r="D26" s="8" t="n">
        <f aca="false">Robustness!C26</f>
        <v>1.759658</v>
      </c>
      <c r="E26" s="8" t="n">
        <f aca="false">LN(D26)-LN(C26)</f>
        <v>-0.0837440000630368</v>
      </c>
      <c r="F26" s="13" t="n">
        <f aca="false">D26/C26-1</f>
        <v>-0.0803333394307935</v>
      </c>
      <c r="G26" s="6" t="str">
        <f aca="false">IF(AND('Main model'!J29&lt;&gt;"",'Main model'!J29&lt;&gt;".")=AND(Robustness!J26&lt;&gt;"",Robustness!J26&lt;&gt;"."),"unchanged","CHANGES")</f>
        <v>unchanged</v>
      </c>
    </row>
    <row r="27" customFormat="false" ht="15" hidden="false" customHeight="false" outlineLevel="0" collapsed="false">
      <c r="A27" s="9" t="s">
        <v>48</v>
      </c>
      <c r="B27" s="10" t="s">
        <v>74</v>
      </c>
      <c r="C27" s="11" t="n">
        <f aca="false">'Main model'!C30</f>
        <v>5.45068</v>
      </c>
      <c r="D27" s="11" t="n">
        <f aca="false">Robustness!C27</f>
        <v>5.917408</v>
      </c>
      <c r="E27" s="11" t="n">
        <f aca="false">LN(D27)-LN(C27)</f>
        <v>0.0821581436449577</v>
      </c>
      <c r="F27" s="12" t="n">
        <f aca="false">D27/C27-1</f>
        <v>0.0856274813417774</v>
      </c>
      <c r="G27" s="9" t="str">
        <f aca="false">IF(AND('Main model'!J30&lt;&gt;"",'Main model'!J30&lt;&gt;".")=AND(Robustness!J27&lt;&gt;"",Robustness!J27&lt;&gt;"."),"unchanged","CHANGES")</f>
        <v>unchanged</v>
      </c>
    </row>
    <row r="28" customFormat="false" ht="15" hidden="false" customHeight="false" outlineLevel="0" collapsed="false">
      <c r="A28" s="6" t="s">
        <v>51</v>
      </c>
      <c r="B28" s="7" t="s">
        <v>74</v>
      </c>
      <c r="C28" s="8" t="n">
        <f aca="false">'Main model'!C31</f>
        <v>2.291426</v>
      </c>
      <c r="D28" s="8" t="n">
        <f aca="false">Robustness!C28</f>
        <v>2.787455</v>
      </c>
      <c r="E28" s="8" t="n">
        <f aca="false">LN(D28)-LN(C28)</f>
        <v>0.19595466197026</v>
      </c>
      <c r="F28" s="13" t="n">
        <f aca="false">D28/C28-1</f>
        <v>0.216471751651592</v>
      </c>
      <c r="G28" s="6" t="str">
        <f aca="false">IF(AND('Main model'!J31&lt;&gt;"",'Main model'!J31&lt;&gt;".")=AND(Robustness!J28&lt;&gt;"",Robustness!J28&lt;&gt;"."),"unchanged","CHANGES")</f>
        <v>unchanged</v>
      </c>
    </row>
    <row r="30" customFormat="false" ht="15" hidden="false" customHeight="false" outlineLevel="0" collapsed="false">
      <c r="A30" s="4" t="s">
        <v>112</v>
      </c>
    </row>
    <row r="31" customFormat="false" ht="15" hidden="false" customHeight="false" outlineLevel="0" collapsed="false">
      <c r="A31" s="2" t="s">
        <v>113</v>
      </c>
    </row>
    <row r="32" customFormat="false" ht="15" hidden="false" customHeight="false" outlineLevel="0" collapsed="false">
      <c r="A32" s="2" t="s">
        <v>114</v>
      </c>
    </row>
    <row r="33" customFormat="false" ht="15" hidden="false" customHeight="false" outlineLevel="0" collapsed="false">
      <c r="A33" s="2" t="s">
        <v>115</v>
      </c>
    </row>
    <row r="34" customFormat="false" ht="15" hidden="false" customHeight="false" outlineLevel="0" collapsed="false">
      <c r="A34" s="2"/>
    </row>
    <row r="35" customFormat="false" ht="15" hidden="false" customHeight="false" outlineLevel="0" collapsed="false">
      <c r="A35" s="2" t="s">
        <v>116</v>
      </c>
    </row>
    <row r="36" customFormat="false" ht="15" hidden="false" customHeight="false" outlineLevel="0" collapsed="false">
      <c r="A36" s="2" t="s">
        <v>117</v>
      </c>
    </row>
    <row r="37" customFormat="false" ht="15" hidden="false" customHeight="false" outlineLevel="0" collapsed="false">
      <c r="A37" s="2" t="s">
        <v>118</v>
      </c>
    </row>
    <row r="38" customFormat="false" ht="15" hidden="false" customHeight="false" outlineLevel="0" collapsed="false">
      <c r="A38" s="2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1"/>
    <col collapsed="false" customWidth="true" hidden="false" outlineLevel="0" max="5" min="5" style="0" width="42"/>
  </cols>
  <sheetData>
    <row r="1" customFormat="false" ht="16.15" hidden="false" customHeight="false" outlineLevel="0" collapsed="false">
      <c r="A1" s="1" t="s">
        <v>120</v>
      </c>
    </row>
    <row r="3" customFormat="false" ht="15" hidden="false" customHeight="false" outlineLevel="0" collapsed="false">
      <c r="A3" s="4" t="s">
        <v>121</v>
      </c>
    </row>
    <row r="4" customFormat="false" ht="15" hidden="false" customHeight="false" outlineLevel="0" collapsed="false">
      <c r="A4" s="5" t="s">
        <v>122</v>
      </c>
      <c r="B4" s="5" t="s">
        <v>123</v>
      </c>
      <c r="C4" s="5" t="s">
        <v>124</v>
      </c>
      <c r="D4" s="5" t="s">
        <v>125</v>
      </c>
    </row>
    <row r="5" customFormat="false" ht="15" hidden="false" customHeight="false" outlineLevel="0" collapsed="false">
      <c r="A5" s="7" t="s">
        <v>126</v>
      </c>
      <c r="B5" s="14" t="n">
        <v>4.25</v>
      </c>
      <c r="C5" s="6" t="n">
        <v>4</v>
      </c>
      <c r="D5" s="8" t="n">
        <v>0.37</v>
      </c>
    </row>
    <row r="6" customFormat="false" ht="15" hidden="false" customHeight="false" outlineLevel="0" collapsed="false">
      <c r="A6" s="7" t="s">
        <v>127</v>
      </c>
      <c r="B6" s="14" t="n">
        <v>3.5</v>
      </c>
      <c r="C6" s="6" t="n">
        <v>4</v>
      </c>
      <c r="D6" s="8" t="n">
        <v>0.48</v>
      </c>
    </row>
    <row r="7" customFormat="false" ht="15" hidden="false" customHeight="false" outlineLevel="0" collapsed="false">
      <c r="A7" s="7" t="s">
        <v>128</v>
      </c>
      <c r="B7" s="14" t="n">
        <v>5.25</v>
      </c>
      <c r="C7" s="6" t="n">
        <v>4</v>
      </c>
      <c r="D7" s="8" t="n">
        <v>0.26</v>
      </c>
    </row>
    <row r="8" customFormat="false" ht="15" hidden="false" customHeight="false" outlineLevel="0" collapsed="false">
      <c r="A8" s="7" t="s">
        <v>129</v>
      </c>
      <c r="B8" s="14" t="n">
        <v>1.93</v>
      </c>
      <c r="C8" s="6" t="n">
        <v>4</v>
      </c>
      <c r="D8" s="8" t="n">
        <v>0.75</v>
      </c>
    </row>
    <row r="9" customFormat="false" ht="15" hidden="false" customHeight="false" outlineLevel="0" collapsed="false">
      <c r="A9" s="7" t="s">
        <v>130</v>
      </c>
      <c r="B9" s="14" t="n">
        <v>2.42</v>
      </c>
      <c r="C9" s="6" t="n">
        <v>4</v>
      </c>
      <c r="D9" s="8" t="n">
        <v>0.66</v>
      </c>
    </row>
    <row r="10" customFormat="false" ht="15" hidden="false" customHeight="false" outlineLevel="0" collapsed="false">
      <c r="A10" s="7" t="s">
        <v>131</v>
      </c>
      <c r="B10" s="14" t="n">
        <v>3.74</v>
      </c>
      <c r="C10" s="6" t="n">
        <v>4</v>
      </c>
      <c r="D10" s="8" t="n">
        <v>0.44</v>
      </c>
    </row>
    <row r="11" customFormat="false" ht="15" hidden="false" customHeight="false" outlineLevel="0" collapsed="false">
      <c r="A11" s="7" t="s">
        <v>132</v>
      </c>
      <c r="B11" s="14" t="n">
        <v>3.77</v>
      </c>
      <c r="C11" s="6" t="n">
        <v>4</v>
      </c>
      <c r="D11" s="8" t="n">
        <v>0.44</v>
      </c>
    </row>
    <row r="12" customFormat="false" ht="15" hidden="false" customHeight="false" outlineLevel="0" collapsed="false">
      <c r="A12" s="15" t="s">
        <v>133</v>
      </c>
      <c r="B12" s="16" t="n">
        <v>29.41</v>
      </c>
      <c r="C12" s="17" t="n">
        <v>28</v>
      </c>
      <c r="D12" s="18" t="n">
        <v>0.39</v>
      </c>
    </row>
    <row r="14" customFormat="false" ht="15" hidden="false" customHeight="false" outlineLevel="0" collapsed="false">
      <c r="A14" s="4" t="s">
        <v>134</v>
      </c>
    </row>
    <row r="15" customFormat="false" ht="15" hidden="false" customHeight="false" outlineLevel="0" collapsed="false">
      <c r="A15" s="5" t="s">
        <v>122</v>
      </c>
      <c r="B15" s="5" t="s">
        <v>123</v>
      </c>
      <c r="C15" s="5" t="s">
        <v>124</v>
      </c>
      <c r="D15" s="5" t="s">
        <v>125</v>
      </c>
    </row>
    <row r="16" customFormat="false" ht="15" hidden="false" customHeight="false" outlineLevel="0" collapsed="false">
      <c r="A16" s="7" t="s">
        <v>135</v>
      </c>
      <c r="B16" s="14" t="n">
        <v>6.7</v>
      </c>
      <c r="C16" s="6" t="n">
        <v>3</v>
      </c>
      <c r="D16" s="8" t="n">
        <v>0.082</v>
      </c>
    </row>
    <row r="17" customFormat="false" ht="15" hidden="false" customHeight="false" outlineLevel="0" collapsed="false">
      <c r="A17" s="7" t="s">
        <v>136</v>
      </c>
      <c r="B17" s="14" t="n">
        <v>4.65</v>
      </c>
      <c r="C17" s="6" t="n">
        <v>3</v>
      </c>
      <c r="D17" s="8" t="n">
        <v>0.199</v>
      </c>
    </row>
    <row r="18" customFormat="false" ht="15" hidden="false" customHeight="false" outlineLevel="0" collapsed="false">
      <c r="A18" s="7" t="s">
        <v>126</v>
      </c>
      <c r="B18" s="14" t="n">
        <v>4.92</v>
      </c>
      <c r="C18" s="6" t="n">
        <v>4</v>
      </c>
      <c r="D18" s="8" t="n">
        <v>0.296</v>
      </c>
    </row>
    <row r="19" customFormat="false" ht="15" hidden="false" customHeight="false" outlineLevel="0" collapsed="false">
      <c r="A19" s="7" t="s">
        <v>127</v>
      </c>
      <c r="B19" s="14" t="n">
        <v>4.25</v>
      </c>
      <c r="C19" s="6" t="n">
        <v>4</v>
      </c>
      <c r="D19" s="8" t="n">
        <v>0.373</v>
      </c>
    </row>
    <row r="20" customFormat="false" ht="15" hidden="false" customHeight="false" outlineLevel="0" collapsed="false">
      <c r="A20" s="7" t="s">
        <v>128</v>
      </c>
      <c r="B20" s="14" t="n">
        <v>5.81</v>
      </c>
      <c r="C20" s="6" t="n">
        <v>4</v>
      </c>
      <c r="D20" s="8" t="n">
        <v>0.214</v>
      </c>
    </row>
    <row r="21" customFormat="false" ht="15" hidden="false" customHeight="false" outlineLevel="0" collapsed="false">
      <c r="A21" s="7" t="s">
        <v>130</v>
      </c>
      <c r="B21" s="14" t="n">
        <v>3.22</v>
      </c>
      <c r="C21" s="6" t="n">
        <v>4</v>
      </c>
      <c r="D21" s="8" t="n">
        <v>0.522</v>
      </c>
    </row>
    <row r="22" customFormat="false" ht="15" hidden="false" customHeight="false" outlineLevel="0" collapsed="false">
      <c r="A22" s="7" t="s">
        <v>131</v>
      </c>
      <c r="B22" s="14" t="n">
        <v>5.82</v>
      </c>
      <c r="C22" s="6" t="n">
        <v>4</v>
      </c>
      <c r="D22" s="8" t="n">
        <v>0.213</v>
      </c>
    </row>
    <row r="23" customFormat="false" ht="15" hidden="false" customHeight="false" outlineLevel="0" collapsed="false">
      <c r="A23" s="7" t="s">
        <v>132</v>
      </c>
      <c r="B23" s="14" t="n">
        <v>4.57</v>
      </c>
      <c r="C23" s="6" t="n">
        <v>4</v>
      </c>
      <c r="D23" s="8" t="n">
        <v>0.334</v>
      </c>
    </row>
    <row r="24" customFormat="false" ht="15" hidden="false" customHeight="false" outlineLevel="0" collapsed="false">
      <c r="A24" s="15" t="s">
        <v>133</v>
      </c>
      <c r="B24" s="16" t="n">
        <v>40.68</v>
      </c>
      <c r="C24" s="17" t="n">
        <v>30</v>
      </c>
      <c r="D24" s="18" t="n">
        <v>0.092</v>
      </c>
    </row>
    <row r="26" customFormat="false" ht="15" hidden="false" customHeight="false" outlineLevel="0" collapsed="false">
      <c r="A26" s="4" t="s">
        <v>137</v>
      </c>
    </row>
    <row r="27" customFormat="false" ht="15" hidden="false" customHeight="false" outlineLevel="0" collapsed="false">
      <c r="A27" s="5" t="s">
        <v>138</v>
      </c>
      <c r="B27" s="5" t="s">
        <v>123</v>
      </c>
      <c r="C27" s="5" t="s">
        <v>124</v>
      </c>
      <c r="D27" s="5" t="s">
        <v>125</v>
      </c>
      <c r="E27" s="5" t="s">
        <v>139</v>
      </c>
    </row>
    <row r="28" customFormat="false" ht="15" hidden="false" customHeight="false" outlineLevel="0" collapsed="false">
      <c r="A28" s="7" t="s">
        <v>140</v>
      </c>
      <c r="B28" s="14" t="n">
        <v>37.805</v>
      </c>
      <c r="C28" s="6" t="n">
        <v>6</v>
      </c>
      <c r="D28" s="8" t="n">
        <v>1.226E-006</v>
      </c>
      <c r="E28" s="7" t="s">
        <v>141</v>
      </c>
    </row>
    <row r="29" customFormat="false" ht="15" hidden="false" customHeight="false" outlineLevel="0" collapsed="false">
      <c r="A29" s="7" t="s">
        <v>142</v>
      </c>
      <c r="B29" s="14" t="n">
        <v>29.207</v>
      </c>
      <c r="C29" s="6" t="n">
        <v>6</v>
      </c>
      <c r="D29" s="8" t="n">
        <v>5.558E-005</v>
      </c>
      <c r="E29" s="7" t="s">
        <v>143</v>
      </c>
    </row>
    <row r="30" customFormat="false" ht="15" hidden="false" customHeight="false" outlineLevel="0" collapsed="false">
      <c r="A30" s="2" t="s">
        <v>144</v>
      </c>
    </row>
    <row r="32" customFormat="false" ht="15" hidden="false" customHeight="false" outlineLevel="0" collapsed="false">
      <c r="A32" s="4" t="s">
        <v>145</v>
      </c>
    </row>
    <row r="33" customFormat="false" ht="15" hidden="false" customHeight="false" outlineLevel="0" collapsed="false">
      <c r="A33" s="5" t="s">
        <v>146</v>
      </c>
      <c r="B33" s="5" t="s">
        <v>147</v>
      </c>
      <c r="C33" s="5" t="s">
        <v>148</v>
      </c>
      <c r="D33" s="5"/>
      <c r="E33" s="5"/>
    </row>
    <row r="34" customFormat="false" ht="15" hidden="false" customHeight="false" outlineLevel="0" collapsed="false">
      <c r="A34" s="7" t="s">
        <v>149</v>
      </c>
      <c r="B34" s="14" t="n">
        <v>1082</v>
      </c>
      <c r="C34" s="6" t="n">
        <v>1082</v>
      </c>
      <c r="D34" s="6"/>
      <c r="E34" s="7"/>
    </row>
    <row r="35" customFormat="false" ht="15" hidden="false" customHeight="false" outlineLevel="0" collapsed="false">
      <c r="A35" s="7" t="s">
        <v>150</v>
      </c>
      <c r="B35" s="14" t="n">
        <v>462</v>
      </c>
      <c r="C35" s="6" t="n">
        <v>462</v>
      </c>
      <c r="D35" s="6"/>
      <c r="E35" s="7"/>
    </row>
    <row r="36" customFormat="false" ht="15" hidden="false" customHeight="false" outlineLevel="0" collapsed="false">
      <c r="A36" s="7" t="s">
        <v>151</v>
      </c>
      <c r="B36" s="14" t="n">
        <v>0.716</v>
      </c>
      <c r="C36" s="6" t="n">
        <v>0.717</v>
      </c>
      <c r="D36" s="6"/>
      <c r="E36" s="7" t="s">
        <v>152</v>
      </c>
    </row>
    <row r="37" customFormat="false" ht="15" hidden="false" customHeight="false" outlineLevel="0" collapsed="false">
      <c r="A37" s="7" t="s">
        <v>153</v>
      </c>
      <c r="B37" s="14" t="n">
        <v>219.7</v>
      </c>
      <c r="C37" s="6" t="n">
        <v>251</v>
      </c>
      <c r="D37" s="6"/>
      <c r="E37" s="7" t="s">
        <v>154</v>
      </c>
    </row>
    <row r="38" customFormat="false" ht="15" hidden="false" customHeight="false" outlineLevel="0" collapsed="false">
      <c r="A38" s="7" t="s">
        <v>155</v>
      </c>
      <c r="B38" s="14" t="n">
        <v>271.3</v>
      </c>
      <c r="C38" s="6" t="n">
        <v>398</v>
      </c>
      <c r="D38" s="6"/>
      <c r="E38" s="7" t="s">
        <v>154</v>
      </c>
    </row>
    <row r="39" customFormat="false" ht="15" hidden="false" customHeight="false" outlineLevel="0" collapsed="false">
      <c r="A39" s="7" t="s">
        <v>156</v>
      </c>
      <c r="B39" s="14" t="n">
        <v>208.1</v>
      </c>
      <c r="C39" s="6" t="n">
        <v>238.4</v>
      </c>
      <c r="D39" s="6"/>
      <c r="E39" s="7" t="s">
        <v>157</v>
      </c>
    </row>
    <row r="41" customFormat="false" ht="15" hidden="false" customHeight="false" outlineLevel="0" collapsed="false">
      <c r="A41" s="2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2026-07-27T21:37:21Z</dcterms:created>
  <dc:creator>openpyxl</dc:creator>
  <dc:description/>
  <dc:language>en-US</dc:language>
  <cp:lastModifiedBy/>
  <dcterms:modified xsi:type="dcterms:W3CDTF">2026-07-27T21:37:21Z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