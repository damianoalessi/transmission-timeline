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amia\Documents\WU\TYNDP\TYNDP- 27 07 2026\0_Results_Excell_Format\"/>
    </mc:Choice>
  </mc:AlternateContent>
  <xr:revisionPtr revIDLastSave="0" documentId="13_ncr:1_{A48E15A1-23F1-40FF-8E90-011C28C5A870}" xr6:coauthVersionLast="47" xr6:coauthVersionMax="47" xr10:uidLastSave="{00000000-0000-0000-0000-000000000000}"/>
  <bookViews>
    <workbookView xWindow="-28920" yWindow="8670" windowWidth="29040" windowHeight="15720" activeTab="2" xr2:uid="{00000000-000D-0000-FFFF-FFFF00000000}"/>
  </bookViews>
  <sheets>
    <sheet name="Duration" sheetId="1" r:id="rId1"/>
    <sheet name="Delay" sheetId="2" r:id="rId2"/>
    <sheet name="Cancell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C28" i="2"/>
  <c r="C9" i="2"/>
  <c r="C8" i="2"/>
  <c r="C7" i="1"/>
</calcChain>
</file>

<file path=xl/sharedStrings.xml><?xml version="1.0" encoding="utf-8"?>
<sst xmlns="http://schemas.openxmlformats.org/spreadsheetml/2006/main" count="100" uniqueCount="88">
  <si>
    <t xml:space="preserve">Average of investment delay </t>
  </si>
  <si>
    <t>4,66 Years</t>
  </si>
  <si>
    <t>Delays</t>
  </si>
  <si>
    <t>Duration</t>
  </si>
  <si>
    <t>Total Success Path Transitions:</t>
  </si>
  <si>
    <t>Total Cancellation Transitions:</t>
  </si>
  <si>
    <t>Other Transitions (Backwards/Jumps):</t>
  </si>
  <si>
    <t>Mean First Passage Time (MFPT)</t>
  </si>
  <si>
    <t>Consideration (MFPT 1 - MFPT 2)</t>
  </si>
  <si>
    <t>Planned (MFPT 2 - MFPT 3)</t>
  </si>
  <si>
    <t>Design &amp; Permitting (MFPT 3 - MFPT 4)</t>
  </si>
  <si>
    <t>Under Construction (MFPT 4)</t>
  </si>
  <si>
    <t>2.2 years</t>
  </si>
  <si>
    <t>N° of Inv</t>
  </si>
  <si>
    <t>3.1 years</t>
  </si>
  <si>
    <t>5.0 years</t>
  </si>
  <si>
    <t>3.8 years</t>
  </si>
  <si>
    <t>(95% CI: [1.3, 3.1])</t>
  </si>
  <si>
    <t>(95% CI: [2.4, 3.8])</t>
  </si>
  <si>
    <t>(95% CI: [4.4, 5.6])</t>
  </si>
  <si>
    <t>(95% CI: [3.4, 4.2])</t>
  </si>
  <si>
    <t>FAILURE PROBABILITY</t>
  </si>
  <si>
    <t>State 1 -&gt; Failure:</t>
  </si>
  <si>
    <t>State 3 -&gt; Failure:</t>
  </si>
  <si>
    <t>State 4 -&gt; Failure:</t>
  </si>
  <si>
    <t>State 2 -&gt; Failure:</t>
  </si>
  <si>
    <t>87.0%</t>
  </si>
  <si>
    <t>69.2%</t>
  </si>
  <si>
    <t xml:space="preserve">42.1% </t>
  </si>
  <si>
    <t>14.0%</t>
  </si>
  <si>
    <t>(95% CI: [84.1%, 89.6%])</t>
  </si>
  <si>
    <t>(95% CI: [64.2%, 73.7%])</t>
  </si>
  <si>
    <t>(95% CI: [36.3%, 48.2%])</t>
  </si>
  <si>
    <t>(95% CI: [9.3%, 19.2%])</t>
  </si>
  <si>
    <t>(95% CI: [4.32, 5.00])</t>
  </si>
  <si>
    <t>N° of Inv with delays &gt;6 years</t>
  </si>
  <si>
    <t>N° of Inv reported for more than 1 cicle</t>
  </si>
  <si>
    <t>% of Inv delayed</t>
  </si>
  <si>
    <t>% of Inv delayed &gt;6 years</t>
  </si>
  <si>
    <t>Sum</t>
  </si>
  <si>
    <t>Inv Status</t>
  </si>
  <si>
    <t>35.23</t>
  </si>
  <si>
    <t>40.41</t>
  </si>
  <si>
    <t>47.19</t>
  </si>
  <si>
    <t>35.13</t>
  </si>
  <si>
    <t>% of Delayed Inv</t>
  </si>
  <si>
    <t>(95% CI, 3.4–4.3)</t>
  </si>
  <si>
    <t>(95% CI, 2.3–2.8)</t>
  </si>
  <si>
    <t xml:space="preserve">(95% CI, 2.1–2.4) </t>
  </si>
  <si>
    <t>(95% CI, 1.6–2.0)</t>
  </si>
  <si>
    <t>Anticipation</t>
  </si>
  <si>
    <t>Years</t>
  </si>
  <si>
    <t>(95% CI, -4.2–-2.9)</t>
  </si>
  <si>
    <t>(95% CI, -4.3–-2.8)</t>
  </si>
  <si>
    <t>(95% CI, -2.3–-1.6)</t>
  </si>
  <si>
    <t xml:space="preserve">(95% CI, -4.7–0.2) </t>
  </si>
  <si>
    <t>Cancellations</t>
  </si>
  <si>
    <t>N° of Inv non concluded</t>
  </si>
  <si>
    <t>N° of Inv Commissioned</t>
  </si>
  <si>
    <t>N° of Cancelled Inv</t>
  </si>
  <si>
    <t>N° of Delayed Inv</t>
  </si>
  <si>
    <t>Delayed and Rescheduled Inv per TYNDP cicle</t>
  </si>
  <si>
    <t>N° of Inv Delayed</t>
  </si>
  <si>
    <t>N° of Inv Rescheduled</t>
  </si>
  <si>
    <t>N° of Inv Delayed with empty  text</t>
  </si>
  <si>
    <t>N° of Inv Rescheduled with empty  text</t>
  </si>
  <si>
    <t>Reported reasons of Delays</t>
  </si>
  <si>
    <t>SYSTEM_DEPENDENCIES</t>
  </si>
  <si>
    <t>TECHNICAL_SCOPE_AND_STUDIES</t>
  </si>
  <si>
    <t>NO_CHANGE_OR_DATA_ISSUE</t>
  </si>
  <si>
    <t xml:space="preserve">SITING_AND_ACQUISITION </t>
  </si>
  <si>
    <t>REGULATORY_PLANNING</t>
  </si>
  <si>
    <t>Cluster</t>
  </si>
  <si>
    <t>N°</t>
  </si>
  <si>
    <t>%</t>
  </si>
  <si>
    <t>Reported reasons of Resceduled</t>
  </si>
  <si>
    <t>Regulatory &amp; Permitting Framework</t>
  </si>
  <si>
    <t>Strategic &amp; Systemic Interdependencies</t>
  </si>
  <si>
    <t>Technical Scope &amp; Data</t>
  </si>
  <si>
    <t>Financial &amp; Industrial Execution</t>
  </si>
  <si>
    <t>Data Issue / No Delay</t>
  </si>
  <si>
    <t>Reported reasons of Cancellation</t>
  </si>
  <si>
    <t>ADMINISTRATIVE_AND_COMPLIANCE_FAILURE</t>
  </si>
  <si>
    <t>NO_RATIONALE_PROVIDED</t>
  </si>
  <si>
    <t>STRATEGIC_OBSOLESCENCE_AND_POLICY</t>
  </si>
  <si>
    <t xml:space="preserve">RECLUSTERING_AND_COMMISSIONED </t>
  </si>
  <si>
    <t>WITHDRAWN_OR_ON_HOLD</t>
  </si>
  <si>
    <t>PERMITTING_AND_SITING_ROADBLOCKS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</si>
</sst>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2" fontId="0" fillId="0" borderId="1" xfId="1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9" fontId="0" fillId="0" borderId="1" xfId="1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Border="1"/>
    <xf numFmtId="0" fontId="2" fillId="0" borderId="1" xfId="0" applyFont="1" applyFill="1" applyBorder="1"/>
    <xf numFmtId="0" fontId="2" fillId="0" borderId="1" xfId="0" applyFont="1" applyBorder="1" applyAlignme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/>
    <xf numFmtId="0" fontId="0" fillId="0" borderId="0" xfId="0" applyBorder="1"/>
    <xf numFmtId="9" fontId="0" fillId="0" borderId="0" xfId="1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left"/>
    </xf>
    <xf numFmtId="2" fontId="0" fillId="0" borderId="0" xfId="1" applyNumberFormat="1" applyFont="1" applyBorder="1" applyAlignment="1">
      <alignment horizontal="right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46"/>
  <sheetViews>
    <sheetView zoomScale="110" zoomScaleNormal="110" workbookViewId="0">
      <selection activeCell="F21" sqref="F21"/>
    </sheetView>
  </sheetViews>
  <sheetFormatPr defaultRowHeight="14.35" x14ac:dyDescent="0.5"/>
  <cols>
    <col min="2" max="2" width="32.87890625" bestFit="1" customWidth="1"/>
    <col min="3" max="3" width="8.9375" customWidth="1"/>
    <col min="4" max="4" width="20.17578125" bestFit="1" customWidth="1"/>
    <col min="5" max="5" width="14.64453125" bestFit="1" customWidth="1"/>
    <col min="6" max="6" width="15.29296875" bestFit="1" customWidth="1"/>
    <col min="8" max="8" width="31.703125" bestFit="1" customWidth="1"/>
  </cols>
  <sheetData>
    <row r="3" spans="2:4" x14ac:dyDescent="0.5">
      <c r="B3" s="2" t="s">
        <v>3</v>
      </c>
      <c r="C3" s="2" t="s">
        <v>13</v>
      </c>
    </row>
    <row r="4" spans="2:4" x14ac:dyDescent="0.5">
      <c r="B4" s="9" t="s">
        <v>4</v>
      </c>
      <c r="C4" s="9">
        <v>512</v>
      </c>
    </row>
    <row r="5" spans="2:4" x14ac:dyDescent="0.5">
      <c r="B5" s="9" t="s">
        <v>5</v>
      </c>
      <c r="C5" s="9">
        <v>445</v>
      </c>
    </row>
    <row r="6" spans="2:4" x14ac:dyDescent="0.5">
      <c r="B6" s="9" t="s">
        <v>6</v>
      </c>
      <c r="C6" s="9">
        <v>374</v>
      </c>
    </row>
    <row r="7" spans="2:4" x14ac:dyDescent="0.5">
      <c r="B7" s="2" t="s">
        <v>39</v>
      </c>
      <c r="C7" s="2">
        <f>SUM(C4:C6)</f>
        <v>1331</v>
      </c>
    </row>
    <row r="9" spans="2:4" ht="15" x14ac:dyDescent="0.5">
      <c r="B9" s="8" t="s">
        <v>7</v>
      </c>
      <c r="C9" s="4"/>
      <c r="D9" s="4"/>
    </row>
    <row r="10" spans="2:4" x14ac:dyDescent="0.5">
      <c r="B10" s="4" t="s">
        <v>8</v>
      </c>
      <c r="C10" s="4" t="s">
        <v>12</v>
      </c>
      <c r="D10" s="4" t="s">
        <v>17</v>
      </c>
    </row>
    <row r="11" spans="2:4" x14ac:dyDescent="0.5">
      <c r="B11" s="4" t="s">
        <v>9</v>
      </c>
      <c r="C11" s="4" t="s">
        <v>14</v>
      </c>
      <c r="D11" s="4" t="s">
        <v>18</v>
      </c>
    </row>
    <row r="12" spans="2:4" x14ac:dyDescent="0.5">
      <c r="B12" s="4" t="s">
        <v>10</v>
      </c>
      <c r="C12" s="4" t="s">
        <v>15</v>
      </c>
      <c r="D12" s="4" t="s">
        <v>19</v>
      </c>
    </row>
    <row r="13" spans="2:4" x14ac:dyDescent="0.5">
      <c r="B13" s="4" t="s">
        <v>11</v>
      </c>
      <c r="C13" s="4" t="s">
        <v>16</v>
      </c>
      <c r="D13" s="4" t="s">
        <v>20</v>
      </c>
    </row>
    <row r="23" spans="1:10" x14ac:dyDescent="0.5">
      <c r="A23" s="15"/>
      <c r="B23" s="17"/>
      <c r="C23" s="17"/>
      <c r="D23" s="15"/>
      <c r="E23" s="15"/>
      <c r="F23" s="15"/>
      <c r="J23" s="14"/>
    </row>
    <row r="24" spans="1:10" x14ac:dyDescent="0.5">
      <c r="A24" s="15"/>
      <c r="B24" s="15"/>
      <c r="C24" s="15"/>
      <c r="D24" s="15"/>
      <c r="E24" s="15"/>
      <c r="F24" s="15"/>
      <c r="J24" s="15"/>
    </row>
    <row r="25" spans="1:10" x14ac:dyDescent="0.5">
      <c r="A25" s="15"/>
      <c r="B25" s="15"/>
      <c r="C25" s="15"/>
      <c r="D25" s="15"/>
      <c r="E25" s="15"/>
      <c r="F25" s="15"/>
      <c r="J25" s="15"/>
    </row>
    <row r="26" spans="1:10" x14ac:dyDescent="0.5">
      <c r="A26" s="15"/>
      <c r="B26" s="15"/>
      <c r="C26" s="15"/>
      <c r="D26" s="15"/>
      <c r="E26" s="15"/>
      <c r="F26" s="15"/>
      <c r="J26" s="15"/>
    </row>
    <row r="27" spans="1:10" x14ac:dyDescent="0.5">
      <c r="A27" s="15"/>
      <c r="B27" s="15"/>
      <c r="C27" s="15"/>
      <c r="D27" s="15"/>
      <c r="E27" s="15"/>
      <c r="F27" s="15"/>
      <c r="J27" s="15"/>
    </row>
    <row r="28" spans="1:10" x14ac:dyDescent="0.5">
      <c r="A28" s="15"/>
      <c r="B28" s="15"/>
      <c r="C28" s="16"/>
      <c r="D28" s="15"/>
      <c r="E28" s="15"/>
      <c r="F28" s="15"/>
      <c r="J28" s="15"/>
    </row>
    <row r="29" spans="1:10" x14ac:dyDescent="0.5">
      <c r="A29" s="15"/>
      <c r="B29" s="15"/>
      <c r="C29" s="16"/>
      <c r="D29" s="15"/>
      <c r="E29" s="15"/>
      <c r="F29" s="15"/>
      <c r="H29" s="15"/>
      <c r="I29" s="16"/>
      <c r="J29" s="15"/>
    </row>
    <row r="30" spans="1:10" x14ac:dyDescent="0.5">
      <c r="A30" s="15"/>
      <c r="B30" s="15"/>
      <c r="C30" s="15"/>
      <c r="D30" s="15"/>
      <c r="E30" s="15"/>
      <c r="F30" s="15"/>
      <c r="H30" s="15"/>
      <c r="I30" s="15"/>
      <c r="J30" s="15"/>
    </row>
    <row r="31" spans="1:10" x14ac:dyDescent="0.5">
      <c r="A31" s="15"/>
      <c r="B31" s="18"/>
      <c r="C31" s="18"/>
      <c r="D31" s="18"/>
      <c r="E31" s="15"/>
      <c r="F31" s="18"/>
    </row>
    <row r="32" spans="1:10" x14ac:dyDescent="0.5">
      <c r="A32" s="15"/>
      <c r="B32" s="18"/>
      <c r="C32" s="18"/>
      <c r="D32" s="18"/>
      <c r="E32" s="19"/>
      <c r="F32" s="18"/>
    </row>
    <row r="33" spans="1:6" x14ac:dyDescent="0.5">
      <c r="A33" s="15"/>
      <c r="B33" s="20"/>
      <c r="C33" s="15"/>
      <c r="D33" s="21"/>
      <c r="E33" s="15"/>
      <c r="F33" s="21"/>
    </row>
    <row r="34" spans="1:6" x14ac:dyDescent="0.5">
      <c r="A34" s="15"/>
      <c r="B34" s="20"/>
      <c r="C34" s="15"/>
      <c r="D34" s="21"/>
      <c r="E34" s="15"/>
      <c r="F34" s="21"/>
    </row>
    <row r="35" spans="1:6" x14ac:dyDescent="0.5">
      <c r="A35" s="15"/>
      <c r="B35" s="20"/>
      <c r="C35" s="15"/>
      <c r="D35" s="21"/>
      <c r="E35" s="15"/>
      <c r="F35" s="21"/>
    </row>
    <row r="36" spans="1:6" x14ac:dyDescent="0.5">
      <c r="A36" s="15"/>
      <c r="B36" s="20"/>
      <c r="C36" s="15"/>
      <c r="D36" s="21"/>
      <c r="E36" s="15"/>
      <c r="F36" s="21"/>
    </row>
    <row r="37" spans="1:6" x14ac:dyDescent="0.5">
      <c r="A37" s="15"/>
      <c r="B37" s="20"/>
      <c r="C37" s="15"/>
      <c r="D37" s="15"/>
      <c r="E37" s="15"/>
      <c r="F37" s="15"/>
    </row>
    <row r="38" spans="1:6" x14ac:dyDescent="0.5">
      <c r="A38" s="15"/>
      <c r="B38" s="18"/>
      <c r="C38" s="15"/>
      <c r="D38" s="15"/>
      <c r="E38" s="15"/>
      <c r="F38" s="15"/>
    </row>
    <row r="39" spans="1:6" x14ac:dyDescent="0.5">
      <c r="A39" s="15"/>
      <c r="B39" s="18"/>
      <c r="C39" s="18"/>
      <c r="D39" s="18"/>
      <c r="E39" s="19"/>
      <c r="F39" s="18"/>
    </row>
    <row r="40" spans="1:6" x14ac:dyDescent="0.5">
      <c r="A40" s="15"/>
      <c r="B40" s="20"/>
      <c r="C40" s="15"/>
      <c r="D40" s="21"/>
      <c r="E40" s="15"/>
      <c r="F40" s="21"/>
    </row>
    <row r="41" spans="1:6" x14ac:dyDescent="0.5">
      <c r="A41" s="15"/>
      <c r="B41" s="20"/>
      <c r="C41" s="15"/>
      <c r="D41" s="21"/>
      <c r="E41" s="15"/>
      <c r="F41" s="21"/>
    </row>
    <row r="42" spans="1:6" x14ac:dyDescent="0.5">
      <c r="A42" s="15"/>
      <c r="B42" s="20"/>
      <c r="C42" s="15"/>
      <c r="D42" s="21"/>
      <c r="E42" s="15"/>
      <c r="F42" s="21"/>
    </row>
    <row r="43" spans="1:6" x14ac:dyDescent="0.5">
      <c r="A43" s="15"/>
      <c r="B43" s="20"/>
      <c r="C43" s="15"/>
      <c r="D43" s="21"/>
      <c r="E43" s="15"/>
      <c r="F43" s="21"/>
    </row>
    <row r="44" spans="1:6" x14ac:dyDescent="0.5">
      <c r="A44" s="15"/>
      <c r="B44" s="15"/>
      <c r="C44" s="15"/>
      <c r="D44" s="15"/>
      <c r="E44" s="15"/>
      <c r="F44" s="15"/>
    </row>
    <row r="45" spans="1:6" x14ac:dyDescent="0.5">
      <c r="A45" s="15"/>
      <c r="B45" s="15"/>
      <c r="C45" s="15"/>
      <c r="D45" s="15"/>
      <c r="E45" s="15"/>
      <c r="F45" s="15"/>
    </row>
    <row r="46" spans="1:6" x14ac:dyDescent="0.5">
      <c r="A46" s="15"/>
      <c r="B46" s="15"/>
      <c r="C46" s="15"/>
      <c r="D46" s="15"/>
      <c r="E46" s="15"/>
      <c r="F46" s="15"/>
    </row>
  </sheetData>
  <mergeCells count="1">
    <mergeCell ref="B23:C2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41EA-2099-4CE1-86D1-385FD1B2EB87}">
  <dimension ref="B3:F47"/>
  <sheetViews>
    <sheetView topLeftCell="A28" workbookViewId="0">
      <selection activeCell="I41" sqref="I41"/>
    </sheetView>
  </sheetViews>
  <sheetFormatPr defaultRowHeight="14.35" x14ac:dyDescent="0.5"/>
  <cols>
    <col min="2" max="2" width="33.41015625" bestFit="1" customWidth="1"/>
    <col min="4" max="4" width="17.52734375" customWidth="1"/>
    <col min="5" max="5" width="5.3515625" bestFit="1" customWidth="1"/>
    <col min="6" max="6" width="15.52734375" bestFit="1" customWidth="1"/>
  </cols>
  <sheetData>
    <row r="3" spans="2:6" x14ac:dyDescent="0.5">
      <c r="B3" s="6" t="s">
        <v>2</v>
      </c>
      <c r="C3" s="6"/>
      <c r="D3" s="4"/>
    </row>
    <row r="4" spans="2:6" x14ac:dyDescent="0.5">
      <c r="B4" s="4" t="s">
        <v>0</v>
      </c>
      <c r="C4" s="4" t="s">
        <v>1</v>
      </c>
      <c r="D4" s="4" t="s">
        <v>34</v>
      </c>
    </row>
    <row r="5" spans="2:6" x14ac:dyDescent="0.5">
      <c r="B5" s="4" t="s">
        <v>60</v>
      </c>
      <c r="C5" s="4">
        <v>398</v>
      </c>
      <c r="D5" s="4"/>
    </row>
    <row r="6" spans="2:6" x14ac:dyDescent="0.5">
      <c r="B6" s="4" t="s">
        <v>35</v>
      </c>
      <c r="C6" s="4">
        <v>98</v>
      </c>
      <c r="D6" s="4"/>
    </row>
    <row r="7" spans="2:6" x14ac:dyDescent="0.5">
      <c r="B7" s="4" t="s">
        <v>36</v>
      </c>
      <c r="C7" s="4">
        <v>725</v>
      </c>
      <c r="D7" s="4"/>
    </row>
    <row r="8" spans="2:6" x14ac:dyDescent="0.5">
      <c r="B8" s="4" t="s">
        <v>37</v>
      </c>
      <c r="C8" s="7">
        <f>C5/C7</f>
        <v>0.54896551724137932</v>
      </c>
      <c r="D8" s="4"/>
    </row>
    <row r="9" spans="2:6" x14ac:dyDescent="0.5">
      <c r="B9" s="4" t="s">
        <v>38</v>
      </c>
      <c r="C9" s="7">
        <f>C6/C7</f>
        <v>0.13517241379310344</v>
      </c>
      <c r="D9" s="4"/>
    </row>
    <row r="11" spans="2:6" x14ac:dyDescent="0.5">
      <c r="B11" s="2" t="s">
        <v>2</v>
      </c>
      <c r="C11" s="2"/>
      <c r="D11" s="2"/>
      <c r="E11" s="4"/>
      <c r="F11" s="2"/>
    </row>
    <row r="12" spans="2:6" x14ac:dyDescent="0.5">
      <c r="B12" s="2" t="s">
        <v>40</v>
      </c>
      <c r="C12" s="2" t="s">
        <v>13</v>
      </c>
      <c r="D12" s="2" t="s">
        <v>45</v>
      </c>
      <c r="E12" s="10" t="s">
        <v>51</v>
      </c>
      <c r="F12" s="2"/>
    </row>
    <row r="13" spans="2:6" x14ac:dyDescent="0.5">
      <c r="B13" s="3">
        <v>1</v>
      </c>
      <c r="C13" s="4">
        <v>161</v>
      </c>
      <c r="D13" s="5" t="s">
        <v>41</v>
      </c>
      <c r="E13" s="4">
        <v>3.9</v>
      </c>
      <c r="F13" s="5" t="s">
        <v>46</v>
      </c>
    </row>
    <row r="14" spans="2:6" x14ac:dyDescent="0.5">
      <c r="B14" s="3">
        <v>2</v>
      </c>
      <c r="C14" s="4">
        <v>215</v>
      </c>
      <c r="D14" s="5" t="s">
        <v>42</v>
      </c>
      <c r="E14" s="4">
        <v>2.5</v>
      </c>
      <c r="F14" s="5" t="s">
        <v>47</v>
      </c>
    </row>
    <row r="15" spans="2:6" x14ac:dyDescent="0.5">
      <c r="B15" s="3">
        <v>3</v>
      </c>
      <c r="C15" s="4">
        <v>319</v>
      </c>
      <c r="D15" s="5" t="s">
        <v>43</v>
      </c>
      <c r="E15" s="4">
        <v>2.2999999999999998</v>
      </c>
      <c r="F15" s="5" t="s">
        <v>48</v>
      </c>
    </row>
    <row r="16" spans="2:6" x14ac:dyDescent="0.5">
      <c r="B16" s="3">
        <v>4</v>
      </c>
      <c r="C16" s="4">
        <v>124</v>
      </c>
      <c r="D16" s="5" t="s">
        <v>44</v>
      </c>
      <c r="E16" s="4">
        <v>1.8</v>
      </c>
      <c r="F16" s="5" t="s">
        <v>49</v>
      </c>
    </row>
    <row r="17" spans="2:6" x14ac:dyDescent="0.5">
      <c r="B17" s="1"/>
    </row>
    <row r="18" spans="2:6" x14ac:dyDescent="0.5">
      <c r="B18" s="2" t="s">
        <v>50</v>
      </c>
      <c r="C18" s="4"/>
      <c r="D18" s="4"/>
      <c r="E18" s="4"/>
      <c r="F18" s="4"/>
    </row>
    <row r="19" spans="2:6" x14ac:dyDescent="0.5">
      <c r="B19" s="2" t="s">
        <v>40</v>
      </c>
      <c r="C19" s="2" t="s">
        <v>13</v>
      </c>
      <c r="D19" s="2" t="s">
        <v>45</v>
      </c>
      <c r="E19" s="10" t="s">
        <v>51</v>
      </c>
      <c r="F19" s="2"/>
    </row>
    <row r="20" spans="2:6" x14ac:dyDescent="0.5">
      <c r="B20" s="3">
        <v>1</v>
      </c>
      <c r="C20" s="4">
        <v>38</v>
      </c>
      <c r="D20" s="5">
        <v>8.32</v>
      </c>
      <c r="E20" s="4">
        <v>3.6</v>
      </c>
      <c r="F20" s="5" t="s">
        <v>52</v>
      </c>
    </row>
    <row r="21" spans="2:6" x14ac:dyDescent="0.5">
      <c r="B21" s="3">
        <v>2</v>
      </c>
      <c r="C21" s="4">
        <v>51</v>
      </c>
      <c r="D21" s="5">
        <v>9.59</v>
      </c>
      <c r="E21" s="4">
        <v>3.6</v>
      </c>
      <c r="F21" s="5" t="s">
        <v>53</v>
      </c>
    </row>
    <row r="22" spans="2:6" x14ac:dyDescent="0.5">
      <c r="B22" s="3">
        <v>3</v>
      </c>
      <c r="C22" s="4">
        <v>31</v>
      </c>
      <c r="D22" s="5">
        <v>4.59</v>
      </c>
      <c r="E22" s="4">
        <v>1.9</v>
      </c>
      <c r="F22" s="5" t="s">
        <v>54</v>
      </c>
    </row>
    <row r="23" spans="2:6" x14ac:dyDescent="0.5">
      <c r="B23" s="3">
        <v>4</v>
      </c>
      <c r="C23" s="4">
        <v>11</v>
      </c>
      <c r="D23" s="5">
        <v>3.12</v>
      </c>
      <c r="E23" s="4">
        <v>2.2999999999999998</v>
      </c>
      <c r="F23" s="5" t="s">
        <v>55</v>
      </c>
    </row>
    <row r="26" spans="2:6" x14ac:dyDescent="0.5">
      <c r="B26" s="12" t="s">
        <v>61</v>
      </c>
      <c r="C26" s="13"/>
    </row>
    <row r="27" spans="2:6" x14ac:dyDescent="0.5">
      <c r="B27" s="4" t="s">
        <v>62</v>
      </c>
      <c r="C27" s="4">
        <v>484</v>
      </c>
    </row>
    <row r="28" spans="2:6" x14ac:dyDescent="0.5">
      <c r="B28" s="4" t="s">
        <v>64</v>
      </c>
      <c r="C28" s="4">
        <f>484-476</f>
        <v>8</v>
      </c>
    </row>
    <row r="29" spans="2:6" x14ac:dyDescent="0.5">
      <c r="B29" s="4" t="s">
        <v>63</v>
      </c>
      <c r="C29" s="4">
        <v>317</v>
      </c>
    </row>
    <row r="30" spans="2:6" x14ac:dyDescent="0.5">
      <c r="B30" s="4" t="s">
        <v>65</v>
      </c>
      <c r="C30" s="4">
        <f>317-213</f>
        <v>104</v>
      </c>
    </row>
    <row r="33" spans="2:4" x14ac:dyDescent="0.5">
      <c r="B33" s="2" t="s">
        <v>75</v>
      </c>
      <c r="C33" s="2"/>
      <c r="D33" s="2"/>
    </row>
    <row r="34" spans="2:4" x14ac:dyDescent="0.5">
      <c r="B34" s="2" t="s">
        <v>72</v>
      </c>
      <c r="C34" s="2" t="s">
        <v>73</v>
      </c>
      <c r="D34" s="2" t="s">
        <v>74</v>
      </c>
    </row>
    <row r="35" spans="2:4" x14ac:dyDescent="0.5">
      <c r="B35" s="4" t="s">
        <v>67</v>
      </c>
      <c r="C35" s="4">
        <v>90</v>
      </c>
      <c r="D35" s="7">
        <v>0.28399999999999997</v>
      </c>
    </row>
    <row r="36" spans="2:4" x14ac:dyDescent="0.5">
      <c r="B36" s="4" t="s">
        <v>68</v>
      </c>
      <c r="C36" s="4">
        <v>71</v>
      </c>
      <c r="D36" s="7">
        <v>0.224</v>
      </c>
    </row>
    <row r="37" spans="2:4" x14ac:dyDescent="0.5">
      <c r="B37" s="4" t="s">
        <v>69</v>
      </c>
      <c r="C37" s="4">
        <v>124</v>
      </c>
      <c r="D37" s="7">
        <v>0.39100000000000001</v>
      </c>
    </row>
    <row r="38" spans="2:4" x14ac:dyDescent="0.5">
      <c r="B38" s="4" t="s">
        <v>70</v>
      </c>
      <c r="C38" s="4">
        <v>18</v>
      </c>
      <c r="D38" s="7">
        <v>5.7000000000000002E-2</v>
      </c>
    </row>
    <row r="39" spans="2:4" x14ac:dyDescent="0.5">
      <c r="B39" s="4" t="s">
        <v>71</v>
      </c>
      <c r="C39" s="4">
        <v>14</v>
      </c>
      <c r="D39" s="7">
        <v>4.3999999999999997E-2</v>
      </c>
    </row>
    <row r="41" spans="2:4" x14ac:dyDescent="0.5">
      <c r="B41" s="2" t="s">
        <v>66</v>
      </c>
      <c r="C41" s="2"/>
      <c r="D41" s="2"/>
    </row>
    <row r="42" spans="2:4" x14ac:dyDescent="0.5">
      <c r="B42" s="2" t="s">
        <v>72</v>
      </c>
      <c r="C42" s="2" t="s">
        <v>73</v>
      </c>
      <c r="D42" s="2" t="s">
        <v>74</v>
      </c>
    </row>
    <row r="43" spans="2:4" x14ac:dyDescent="0.5">
      <c r="B43" s="9" t="s">
        <v>76</v>
      </c>
      <c r="C43" s="4">
        <v>197</v>
      </c>
      <c r="D43" s="7">
        <v>0.40699999999999997</v>
      </c>
    </row>
    <row r="44" spans="2:4" x14ac:dyDescent="0.5">
      <c r="B44" s="9" t="s">
        <v>77</v>
      </c>
      <c r="C44" s="4">
        <v>103</v>
      </c>
      <c r="D44" s="7">
        <v>0.21299999999999999</v>
      </c>
    </row>
    <row r="45" spans="2:4" x14ac:dyDescent="0.5">
      <c r="B45" s="9" t="s">
        <v>78</v>
      </c>
      <c r="C45" s="4">
        <v>89</v>
      </c>
      <c r="D45" s="7">
        <v>0.184</v>
      </c>
    </row>
    <row r="46" spans="2:4" x14ac:dyDescent="0.5">
      <c r="B46" s="9" t="s">
        <v>79</v>
      </c>
      <c r="C46" s="4">
        <v>51</v>
      </c>
      <c r="D46" s="7">
        <v>0.105</v>
      </c>
    </row>
    <row r="47" spans="2:4" x14ac:dyDescent="0.5">
      <c r="B47" s="9" t="s">
        <v>80</v>
      </c>
      <c r="C47" s="4">
        <v>44</v>
      </c>
      <c r="D47" s="7">
        <v>9.0999999999999998E-2</v>
      </c>
    </row>
  </sheetData>
  <mergeCells count="2">
    <mergeCell ref="B3:C3"/>
    <mergeCell ref="B26:C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1E94-F597-4C88-917A-9F27355F869C}">
  <dimension ref="B4:D23"/>
  <sheetViews>
    <sheetView tabSelected="1" workbookViewId="0">
      <selection activeCell="F18" sqref="F18"/>
    </sheetView>
  </sheetViews>
  <sheetFormatPr defaultRowHeight="14.35" x14ac:dyDescent="0.5"/>
  <cols>
    <col min="2" max="2" width="39.87890625" bestFit="1" customWidth="1"/>
    <col min="3" max="3" width="11.703125" customWidth="1"/>
    <col min="4" max="4" width="20.5859375" bestFit="1" customWidth="1"/>
  </cols>
  <sheetData>
    <row r="4" spans="2:4" x14ac:dyDescent="0.5">
      <c r="B4" s="11" t="s">
        <v>56</v>
      </c>
      <c r="C4" s="11"/>
    </row>
    <row r="5" spans="2:4" x14ac:dyDescent="0.5">
      <c r="B5" s="4" t="s">
        <v>59</v>
      </c>
      <c r="C5" s="4">
        <v>447</v>
      </c>
    </row>
    <row r="6" spans="2:4" x14ac:dyDescent="0.5">
      <c r="B6" s="4" t="s">
        <v>57</v>
      </c>
      <c r="C6" s="4">
        <v>337</v>
      </c>
    </row>
    <row r="7" spans="2:4" x14ac:dyDescent="0.5">
      <c r="B7" s="4" t="s">
        <v>58</v>
      </c>
      <c r="C7" s="4">
        <v>181</v>
      </c>
    </row>
    <row r="9" spans="2:4" x14ac:dyDescent="0.5">
      <c r="B9" s="2" t="s">
        <v>21</v>
      </c>
      <c r="C9" s="4"/>
      <c r="D9" s="4"/>
    </row>
    <row r="10" spans="2:4" x14ac:dyDescent="0.5">
      <c r="B10" s="4" t="s">
        <v>22</v>
      </c>
      <c r="C10" s="4" t="s">
        <v>26</v>
      </c>
      <c r="D10" s="4" t="s">
        <v>30</v>
      </c>
    </row>
    <row r="11" spans="2:4" x14ac:dyDescent="0.5">
      <c r="B11" s="4" t="s">
        <v>25</v>
      </c>
      <c r="C11" s="4" t="s">
        <v>27</v>
      </c>
      <c r="D11" s="4" t="s">
        <v>31</v>
      </c>
    </row>
    <row r="12" spans="2:4" x14ac:dyDescent="0.5">
      <c r="B12" s="4" t="s">
        <v>23</v>
      </c>
      <c r="C12" s="4" t="s">
        <v>28</v>
      </c>
      <c r="D12" s="4" t="s">
        <v>32</v>
      </c>
    </row>
    <row r="13" spans="2:4" x14ac:dyDescent="0.5">
      <c r="B13" s="4" t="s">
        <v>24</v>
      </c>
      <c r="C13" s="4" t="s">
        <v>29</v>
      </c>
      <c r="D13" s="4" t="s">
        <v>33</v>
      </c>
    </row>
    <row r="16" spans="2:4" x14ac:dyDescent="0.5">
      <c r="B16" s="2" t="s">
        <v>81</v>
      </c>
      <c r="C16" s="2"/>
      <c r="D16" s="2"/>
    </row>
    <row r="17" spans="2:4" x14ac:dyDescent="0.5">
      <c r="B17" s="2" t="s">
        <v>72</v>
      </c>
      <c r="C17" s="2" t="s">
        <v>73</v>
      </c>
      <c r="D17" s="2" t="s">
        <v>74</v>
      </c>
    </row>
    <row r="18" spans="2:4" x14ac:dyDescent="0.5">
      <c r="B18" s="9" t="s">
        <v>82</v>
      </c>
      <c r="C18" s="4">
        <v>14</v>
      </c>
      <c r="D18" s="7">
        <v>0.27500000000000002</v>
      </c>
    </row>
    <row r="19" spans="2:4" x14ac:dyDescent="0.5">
      <c r="B19" s="9" t="s">
        <v>83</v>
      </c>
      <c r="C19" s="4">
        <v>11</v>
      </c>
      <c r="D19" s="7">
        <v>0.216</v>
      </c>
    </row>
    <row r="20" spans="2:4" x14ac:dyDescent="0.5">
      <c r="B20" s="9" t="s">
        <v>84</v>
      </c>
      <c r="C20" s="4">
        <v>11</v>
      </c>
      <c r="D20" s="7">
        <v>0.216</v>
      </c>
    </row>
    <row r="21" spans="2:4" x14ac:dyDescent="0.5">
      <c r="B21" s="9" t="s">
        <v>85</v>
      </c>
      <c r="C21" s="4">
        <v>7</v>
      </c>
      <c r="D21" s="7">
        <v>0.13700000000000001</v>
      </c>
    </row>
    <row r="22" spans="2:4" x14ac:dyDescent="0.5">
      <c r="B22" s="9" t="s">
        <v>86</v>
      </c>
      <c r="C22" s="4">
        <v>6</v>
      </c>
      <c r="D22" s="7">
        <v>0.11799999999999999</v>
      </c>
    </row>
    <row r="23" spans="2:4" x14ac:dyDescent="0.5">
      <c r="B23" s="9" t="s">
        <v>87</v>
      </c>
      <c r="C23" s="4">
        <v>2</v>
      </c>
      <c r="D23" s="7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Duration</vt:lpstr>
      <vt:lpstr>Delay</vt:lpstr>
      <vt:lpstr>Cancellation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Damiano Alessi</dc:creator>
  <cp:lastModifiedBy>Alessi, Damiano</cp:lastModifiedBy>
  <dcterms:created xsi:type="dcterms:W3CDTF">2015-06-05T18:19:34Z</dcterms:created>
  <dcterms:modified xsi:type="dcterms:W3CDTF">2026-07-27T19:51:10Z</dcterms:modified>
</cp:coreProperties>
</file>